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denaredu-my.sharepoint.com/personal/jaburbano23b_udenar_edu_co/Documents/Escritorio/"/>
    </mc:Choice>
  </mc:AlternateContent>
  <xr:revisionPtr revIDLastSave="862" documentId="8_{895FAD0A-A193-4E33-8E85-307016D6E37F}" xr6:coauthVersionLast="47" xr6:coauthVersionMax="47" xr10:uidLastSave="{AACEB345-AB26-43F6-B727-4E99DC8B1EED}"/>
  <bookViews>
    <workbookView xWindow="-108" yWindow="-108" windowWidth="23256" windowHeight="12456" xr2:uid="{0DA77FAE-B0F2-4C0A-8E43-4E9357D64167}"/>
  </bookViews>
  <sheets>
    <sheet name="Nutrientes del Sue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74" i="1" l="1"/>
  <c r="AR75" i="1"/>
  <c r="AR76" i="1"/>
  <c r="AR77" i="1"/>
  <c r="AR78" i="1"/>
  <c r="AR73" i="1"/>
  <c r="AR67" i="1"/>
  <c r="AR68" i="1"/>
  <c r="AR69" i="1"/>
  <c r="AR70" i="1"/>
  <c r="AR71" i="1"/>
  <c r="AR66" i="1"/>
  <c r="AR60" i="1"/>
  <c r="AR61" i="1"/>
  <c r="AR62" i="1"/>
  <c r="AR63" i="1"/>
  <c r="AR64" i="1"/>
  <c r="AR59" i="1"/>
  <c r="AR53" i="1"/>
  <c r="AR54" i="1"/>
  <c r="AR55" i="1"/>
  <c r="AR56" i="1"/>
  <c r="AR57" i="1"/>
  <c r="AR52" i="1"/>
  <c r="AR46" i="1"/>
  <c r="AR47" i="1"/>
  <c r="AR48" i="1"/>
  <c r="AR49" i="1"/>
  <c r="AR50" i="1"/>
  <c r="AR45" i="1"/>
  <c r="AR39" i="1"/>
  <c r="AR40" i="1"/>
  <c r="AR41" i="1"/>
  <c r="AR42" i="1"/>
  <c r="AR43" i="1"/>
  <c r="AR38" i="1"/>
  <c r="AR32" i="1"/>
  <c r="AR33" i="1"/>
  <c r="AR34" i="1"/>
  <c r="AR35" i="1"/>
  <c r="AR31" i="1"/>
  <c r="AR25" i="1"/>
  <c r="AR26" i="1"/>
  <c r="AR27" i="1"/>
  <c r="AR28" i="1"/>
  <c r="AR29" i="1"/>
  <c r="AR24" i="1"/>
  <c r="AR18" i="1"/>
  <c r="AR19" i="1"/>
  <c r="AR20" i="1"/>
  <c r="AR21" i="1"/>
  <c r="AR22" i="1"/>
  <c r="AR17" i="1"/>
  <c r="AR11" i="1"/>
  <c r="AR12" i="1"/>
  <c r="AR13" i="1"/>
  <c r="AR14" i="1"/>
  <c r="AR15" i="1"/>
  <c r="AR10" i="1"/>
  <c r="AR4" i="1"/>
  <c r="AR5" i="1"/>
  <c r="AR6" i="1"/>
  <c r="AR7" i="1"/>
  <c r="AR8" i="1"/>
  <c r="AR36" i="1"/>
  <c r="AR3" i="1"/>
  <c r="AQ4" i="1"/>
  <c r="AQ5" i="1"/>
  <c r="AQ6" i="1"/>
  <c r="AQ7" i="1"/>
  <c r="AQ8" i="1"/>
  <c r="AQ10" i="1"/>
  <c r="AQ11" i="1"/>
  <c r="AQ12" i="1"/>
  <c r="AQ13" i="1"/>
  <c r="AQ14" i="1"/>
  <c r="AQ15" i="1"/>
  <c r="AQ17" i="1"/>
  <c r="AQ18" i="1"/>
  <c r="AQ19" i="1"/>
  <c r="AQ20" i="1"/>
  <c r="AQ21" i="1"/>
  <c r="AQ22" i="1"/>
  <c r="AQ24" i="1"/>
  <c r="AQ25" i="1"/>
  <c r="AQ26" i="1"/>
  <c r="AQ27" i="1"/>
  <c r="AQ28" i="1"/>
  <c r="AQ29" i="1"/>
  <c r="AQ31" i="1"/>
  <c r="AQ32" i="1"/>
  <c r="AQ33" i="1"/>
  <c r="AQ34" i="1"/>
  <c r="AQ35" i="1"/>
  <c r="AQ36" i="1"/>
  <c r="AQ38" i="1"/>
  <c r="AQ39" i="1"/>
  <c r="AQ40" i="1"/>
  <c r="AQ41" i="1"/>
  <c r="AQ42" i="1"/>
  <c r="AQ43" i="1"/>
  <c r="AQ45" i="1"/>
  <c r="AQ46" i="1"/>
  <c r="AQ47" i="1"/>
  <c r="AQ48" i="1"/>
  <c r="AQ49" i="1"/>
  <c r="AQ50" i="1"/>
  <c r="AQ52" i="1"/>
  <c r="AQ53" i="1"/>
  <c r="AQ54" i="1"/>
  <c r="AQ55" i="1"/>
  <c r="AQ56" i="1"/>
  <c r="AQ57" i="1"/>
  <c r="AQ59" i="1"/>
  <c r="AQ60" i="1"/>
  <c r="AQ61" i="1"/>
  <c r="AQ62" i="1"/>
  <c r="AQ63" i="1"/>
  <c r="AQ64" i="1"/>
  <c r="AQ66" i="1"/>
  <c r="AQ67" i="1"/>
  <c r="AQ68" i="1"/>
  <c r="AQ69" i="1"/>
  <c r="AQ70" i="1"/>
  <c r="AQ71" i="1"/>
  <c r="AQ73" i="1"/>
  <c r="AQ74" i="1"/>
  <c r="AQ75" i="1"/>
  <c r="AQ76" i="1"/>
  <c r="AQ77" i="1"/>
  <c r="AQ78" i="1"/>
  <c r="AQ3" i="1"/>
  <c r="C3" i="1"/>
  <c r="J8" i="1"/>
  <c r="J10" i="1"/>
  <c r="J4" i="1"/>
  <c r="J5" i="1"/>
  <c r="J6" i="1"/>
  <c r="J7" i="1"/>
  <c r="J11" i="1"/>
  <c r="J12" i="1"/>
  <c r="J13" i="1"/>
  <c r="J14" i="1"/>
  <c r="J15" i="1"/>
  <c r="J17" i="1"/>
  <c r="J18" i="1"/>
  <c r="J19" i="1"/>
  <c r="J20" i="1"/>
  <c r="J21" i="1"/>
  <c r="J22" i="1"/>
  <c r="J24" i="1"/>
  <c r="J25" i="1"/>
  <c r="J26" i="1"/>
  <c r="J27" i="1"/>
  <c r="J28" i="1"/>
  <c r="J29" i="1"/>
  <c r="J31" i="1"/>
  <c r="J32" i="1"/>
  <c r="J33" i="1"/>
  <c r="J34" i="1"/>
  <c r="J35" i="1"/>
  <c r="J36" i="1"/>
  <c r="J38" i="1"/>
  <c r="J39" i="1"/>
  <c r="J40" i="1"/>
  <c r="J41" i="1"/>
  <c r="J42" i="1"/>
  <c r="J43" i="1"/>
  <c r="J45" i="1"/>
  <c r="J46" i="1"/>
  <c r="J47" i="1"/>
  <c r="J48" i="1"/>
  <c r="J49" i="1"/>
  <c r="J50" i="1"/>
  <c r="J52" i="1"/>
  <c r="J53" i="1"/>
  <c r="J54" i="1"/>
  <c r="J55" i="1"/>
  <c r="J56" i="1"/>
  <c r="J57" i="1"/>
  <c r="J59" i="1"/>
  <c r="J60" i="1"/>
  <c r="J61" i="1"/>
  <c r="J62" i="1"/>
  <c r="J63" i="1"/>
  <c r="J64" i="1"/>
  <c r="J66" i="1"/>
  <c r="J67" i="1"/>
  <c r="J68" i="1"/>
  <c r="J69" i="1"/>
  <c r="J70" i="1"/>
  <c r="J71" i="1"/>
  <c r="J73" i="1"/>
  <c r="J74" i="1"/>
  <c r="J75" i="1"/>
  <c r="J76" i="1"/>
  <c r="J77" i="1"/>
  <c r="J78" i="1"/>
  <c r="J3" i="1"/>
  <c r="C31" i="1"/>
  <c r="P31" i="1" s="1"/>
  <c r="T31" i="1" s="1"/>
  <c r="C32" i="1"/>
  <c r="C33" i="1"/>
  <c r="C34" i="1"/>
  <c r="C35" i="1"/>
  <c r="C36" i="1"/>
  <c r="C29" i="1"/>
  <c r="C25" i="1"/>
  <c r="C26" i="1"/>
  <c r="C27" i="1"/>
  <c r="C28" i="1"/>
  <c r="C24" i="1"/>
  <c r="C18" i="1"/>
  <c r="C19" i="1"/>
  <c r="C20" i="1"/>
  <c r="C21" i="1"/>
  <c r="C22" i="1"/>
  <c r="C17" i="1"/>
  <c r="C4" i="1"/>
  <c r="C5" i="1"/>
  <c r="C6" i="1"/>
  <c r="C7" i="1"/>
  <c r="C8" i="1"/>
  <c r="F1" i="1"/>
  <c r="P24" i="1" l="1"/>
  <c r="T24" i="1" s="1"/>
  <c r="P36" i="1"/>
  <c r="T36" i="1" s="1"/>
  <c r="P22" i="1"/>
  <c r="T22" i="1" s="1"/>
  <c r="W41" i="1" s="1"/>
  <c r="P35" i="1"/>
  <c r="T35" i="1" s="1"/>
  <c r="P21" i="1"/>
  <c r="T21" i="1" s="1"/>
  <c r="W34" i="1" s="1"/>
  <c r="P34" i="1"/>
  <c r="T34" i="1" s="1"/>
  <c r="P20" i="1"/>
  <c r="T20" i="1" s="1"/>
  <c r="W27" i="1" s="1"/>
  <c r="P25" i="1"/>
  <c r="T25" i="1" s="1"/>
  <c r="P33" i="1"/>
  <c r="T33" i="1" s="1"/>
  <c r="P19" i="1"/>
  <c r="T19" i="1" s="1"/>
  <c r="W20" i="1" s="1"/>
  <c r="P32" i="1"/>
  <c r="T32" i="1" s="1"/>
  <c r="P18" i="1"/>
  <c r="T18" i="1" s="1"/>
  <c r="W13" i="1" s="1"/>
  <c r="P29" i="1"/>
  <c r="T29" i="1" s="1"/>
  <c r="P28" i="1"/>
  <c r="T28" i="1" s="1"/>
  <c r="P27" i="1"/>
  <c r="T27" i="1" s="1"/>
  <c r="P26" i="1"/>
  <c r="T26" i="1" s="1"/>
  <c r="D5" i="1"/>
  <c r="P5" i="1" s="1"/>
  <c r="T5" i="1" s="1"/>
  <c r="W18" i="1" s="1"/>
  <c r="P17" i="1"/>
  <c r="T17" i="1" s="1"/>
  <c r="W6" i="1" s="1"/>
  <c r="C60" i="1"/>
  <c r="P60" i="1" s="1"/>
  <c r="T60" i="1" s="1"/>
  <c r="C62" i="1"/>
  <c r="P62" i="1" s="1"/>
  <c r="T62" i="1" s="1"/>
  <c r="C13" i="1"/>
  <c r="P13" i="1" s="1"/>
  <c r="T13" i="1" s="1"/>
  <c r="W26" i="1" s="1"/>
  <c r="C59" i="1"/>
  <c r="P59" i="1" s="1"/>
  <c r="T59" i="1" s="1"/>
  <c r="C11" i="1"/>
  <c r="P11" i="1" s="1"/>
  <c r="T11" i="1" s="1"/>
  <c r="W12" i="1" s="1"/>
  <c r="C57" i="1"/>
  <c r="P57" i="1" s="1"/>
  <c r="T57" i="1" s="1"/>
  <c r="C38" i="1"/>
  <c r="P38" i="1" s="1"/>
  <c r="T38" i="1" s="1"/>
  <c r="C56" i="1"/>
  <c r="P56" i="1" s="1"/>
  <c r="T56" i="1" s="1"/>
  <c r="C43" i="1"/>
  <c r="P43" i="1" s="1"/>
  <c r="T43" i="1" s="1"/>
  <c r="C42" i="1"/>
  <c r="P42" i="1" s="1"/>
  <c r="T42" i="1" s="1"/>
  <c r="C76" i="1"/>
  <c r="P76" i="1" s="1"/>
  <c r="T76" i="1" s="1"/>
  <c r="C74" i="1"/>
  <c r="P74" i="1" s="1"/>
  <c r="T74" i="1" s="1"/>
  <c r="C73" i="1"/>
  <c r="P73" i="1" s="1"/>
  <c r="T73" i="1" s="1"/>
  <c r="C71" i="1"/>
  <c r="P71" i="1" s="1"/>
  <c r="T71" i="1" s="1"/>
  <c r="C70" i="1"/>
  <c r="P70" i="1" s="1"/>
  <c r="T70" i="1" s="1"/>
  <c r="C15" i="1"/>
  <c r="P15" i="1" s="1"/>
  <c r="T15" i="1" s="1"/>
  <c r="W40" i="1" s="1"/>
  <c r="C78" i="1"/>
  <c r="P78" i="1" s="1"/>
  <c r="T78" i="1" s="1"/>
  <c r="C64" i="1"/>
  <c r="P64" i="1" s="1"/>
  <c r="T64" i="1" s="1"/>
  <c r="C50" i="1"/>
  <c r="P50" i="1" s="1"/>
  <c r="T50" i="1" s="1"/>
  <c r="C14" i="1"/>
  <c r="P14" i="1" s="1"/>
  <c r="T14" i="1" s="1"/>
  <c r="W33" i="1" s="1"/>
  <c r="C77" i="1"/>
  <c r="P77" i="1" s="1"/>
  <c r="T77" i="1" s="1"/>
  <c r="C63" i="1"/>
  <c r="P63" i="1" s="1"/>
  <c r="T63" i="1" s="1"/>
  <c r="C49" i="1"/>
  <c r="P49" i="1" s="1"/>
  <c r="T49" i="1" s="1"/>
  <c r="C48" i="1"/>
  <c r="P48" i="1" s="1"/>
  <c r="T48" i="1" s="1"/>
  <c r="C12" i="1"/>
  <c r="P12" i="1" s="1"/>
  <c r="T12" i="1" s="1"/>
  <c r="W19" i="1" s="1"/>
  <c r="C75" i="1"/>
  <c r="P75" i="1" s="1"/>
  <c r="T75" i="1" s="1"/>
  <c r="C61" i="1"/>
  <c r="P61" i="1" s="1"/>
  <c r="T61" i="1" s="1"/>
  <c r="C47" i="1"/>
  <c r="P47" i="1" s="1"/>
  <c r="T47" i="1" s="1"/>
  <c r="C46" i="1"/>
  <c r="P46" i="1" s="1"/>
  <c r="T46" i="1" s="1"/>
  <c r="C41" i="1"/>
  <c r="P41" i="1" s="1"/>
  <c r="T41" i="1" s="1"/>
  <c r="C69" i="1"/>
  <c r="P69" i="1" s="1"/>
  <c r="T69" i="1" s="1"/>
  <c r="C55" i="1"/>
  <c r="P55" i="1" s="1"/>
  <c r="T55" i="1" s="1"/>
  <c r="C40" i="1"/>
  <c r="P40" i="1" s="1"/>
  <c r="T40" i="1" s="1"/>
  <c r="C68" i="1"/>
  <c r="P68" i="1" s="1"/>
  <c r="T68" i="1" s="1"/>
  <c r="C54" i="1"/>
  <c r="P54" i="1" s="1"/>
  <c r="T54" i="1" s="1"/>
  <c r="C39" i="1"/>
  <c r="P39" i="1" s="1"/>
  <c r="T39" i="1" s="1"/>
  <c r="C67" i="1"/>
  <c r="P67" i="1" s="1"/>
  <c r="T67" i="1" s="1"/>
  <c r="C53" i="1"/>
  <c r="P53" i="1" s="1"/>
  <c r="T53" i="1" s="1"/>
  <c r="C10" i="1"/>
  <c r="P10" i="1" s="1"/>
  <c r="T10" i="1" s="1"/>
  <c r="W5" i="1" s="1"/>
  <c r="C45" i="1"/>
  <c r="P45" i="1" s="1"/>
  <c r="T45" i="1" s="1"/>
  <c r="C66" i="1"/>
  <c r="P66" i="1" s="1"/>
  <c r="T66" i="1" s="1"/>
  <c r="C52" i="1"/>
  <c r="P52" i="1" s="1"/>
  <c r="T52" i="1" s="1"/>
  <c r="D4" i="1"/>
  <c r="P4" i="1" s="1"/>
  <c r="T4" i="1" s="1"/>
  <c r="W11" i="1" s="1"/>
  <c r="D8" i="1"/>
  <c r="P8" i="1" s="1"/>
  <c r="T8" i="1" s="1"/>
  <c r="W39" i="1" s="1"/>
  <c r="AF39" i="1" s="1"/>
  <c r="D6" i="1"/>
  <c r="P6" i="1" s="1"/>
  <c r="T6" i="1" s="1"/>
  <c r="W25" i="1" s="1"/>
  <c r="D3" i="1"/>
  <c r="P3" i="1" s="1"/>
  <c r="T3" i="1" s="1"/>
  <c r="W4" i="1" s="1"/>
  <c r="D7" i="1"/>
  <c r="P7" i="1" s="1"/>
  <c r="T7" i="1" s="1"/>
  <c r="W32" i="1" s="1"/>
  <c r="AF43" i="1" l="1"/>
  <c r="AF44" i="1" s="1"/>
  <c r="AH40" i="1" s="1"/>
  <c r="AE43" i="1"/>
  <c r="AE44" i="1" s="1"/>
  <c r="AH39" i="1" s="1"/>
  <c r="X33" i="1"/>
  <c r="Y33" i="1" s="1"/>
  <c r="Z33" i="1" s="1"/>
  <c r="AA33" i="1" s="1"/>
  <c r="AB33" i="1" s="1"/>
  <c r="AF33" i="1"/>
  <c r="X4" i="1"/>
  <c r="AF4" i="1"/>
  <c r="X34" i="1"/>
  <c r="Y34" i="1" s="1"/>
  <c r="Z34" i="1" s="1"/>
  <c r="AA34" i="1" s="1"/>
  <c r="AB34" i="1" s="1"/>
  <c r="AF34" i="1"/>
  <c r="X13" i="1"/>
  <c r="Y13" i="1" s="1"/>
  <c r="Z13" i="1" s="1"/>
  <c r="AA13" i="1" s="1"/>
  <c r="AB13" i="1" s="1"/>
  <c r="AF13" i="1"/>
  <c r="X6" i="1"/>
  <c r="Y6" i="1" s="1"/>
  <c r="Z6" i="1" s="1"/>
  <c r="AA6" i="1" s="1"/>
  <c r="AB6" i="1" s="1"/>
  <c r="AF6" i="1"/>
  <c r="X39" i="1"/>
  <c r="Y39" i="1" s="1"/>
  <c r="Z39" i="1" s="1"/>
  <c r="AA39" i="1" s="1"/>
  <c r="AB39" i="1" s="1"/>
  <c r="X27" i="1"/>
  <c r="Y27" i="1" s="1"/>
  <c r="Z27" i="1" s="1"/>
  <c r="AA27" i="1" s="1"/>
  <c r="AB27" i="1" s="1"/>
  <c r="AF27" i="1"/>
  <c r="X12" i="1"/>
  <c r="Y12" i="1" s="1"/>
  <c r="Z12" i="1" s="1"/>
  <c r="AA12" i="1" s="1"/>
  <c r="AB12" i="1" s="1"/>
  <c r="AF12" i="1"/>
  <c r="X40" i="1"/>
  <c r="Y40" i="1" s="1"/>
  <c r="Z40" i="1" s="1"/>
  <c r="AA40" i="1" s="1"/>
  <c r="AB40" i="1" s="1"/>
  <c r="AF40" i="1"/>
  <c r="X18" i="1"/>
  <c r="Y18" i="1" s="1"/>
  <c r="Z18" i="1" s="1"/>
  <c r="AA18" i="1" s="1"/>
  <c r="AB18" i="1" s="1"/>
  <c r="AF18" i="1"/>
  <c r="X32" i="1"/>
  <c r="Y32" i="1" s="1"/>
  <c r="Z32" i="1" s="1"/>
  <c r="AA32" i="1" s="1"/>
  <c r="AB32" i="1" s="1"/>
  <c r="AF32" i="1"/>
  <c r="X20" i="1"/>
  <c r="Y20" i="1" s="1"/>
  <c r="Z20" i="1" s="1"/>
  <c r="AA20" i="1" s="1"/>
  <c r="AB20" i="1" s="1"/>
  <c r="AF20" i="1"/>
  <c r="X25" i="1"/>
  <c r="Y25" i="1" s="1"/>
  <c r="Z25" i="1" s="1"/>
  <c r="AA25" i="1" s="1"/>
  <c r="AB25" i="1" s="1"/>
  <c r="AF25" i="1"/>
  <c r="X11" i="1"/>
  <c r="Y11" i="1" s="1"/>
  <c r="Z11" i="1" s="1"/>
  <c r="AA11" i="1" s="1"/>
  <c r="AB11" i="1" s="1"/>
  <c r="AF11" i="1"/>
  <c r="X5" i="1"/>
  <c r="AF5" i="1"/>
  <c r="X26" i="1"/>
  <c r="Y26" i="1" s="1"/>
  <c r="Z26" i="1" s="1"/>
  <c r="AA26" i="1" s="1"/>
  <c r="AB26" i="1" s="1"/>
  <c r="AF26" i="1"/>
  <c r="X41" i="1"/>
  <c r="Y41" i="1" s="1"/>
  <c r="Z41" i="1" s="1"/>
  <c r="AA41" i="1" s="1"/>
  <c r="AB41" i="1" s="1"/>
  <c r="AF41" i="1"/>
  <c r="X19" i="1"/>
  <c r="Y19" i="1" s="1"/>
  <c r="Z19" i="1" s="1"/>
  <c r="AA19" i="1" s="1"/>
  <c r="AB19" i="1" s="1"/>
  <c r="AF19" i="1"/>
  <c r="AH22" i="1" l="1"/>
  <c r="AH23" i="1" s="1"/>
  <c r="AJ18" i="1" s="1"/>
  <c r="AG22" i="1"/>
  <c r="AG23" i="1" s="1"/>
  <c r="AH20" i="1" s="1"/>
  <c r="AJ22" i="1"/>
  <c r="AJ23" i="1" s="1"/>
  <c r="AJ20" i="1" s="1"/>
  <c r="AI22" i="1"/>
  <c r="AI23" i="1" s="1"/>
  <c r="AJ19" i="1" s="1"/>
  <c r="AJ43" i="1"/>
  <c r="AJ44" i="1" s="1"/>
  <c r="AJ41" i="1" s="1"/>
  <c r="AI43" i="1"/>
  <c r="AI44" i="1" s="1"/>
  <c r="AJ40" i="1" s="1"/>
  <c r="AF36" i="1"/>
  <c r="AF37" i="1" s="1"/>
  <c r="AH33" i="1" s="1"/>
  <c r="AE36" i="1"/>
  <c r="AE37" i="1" s="1"/>
  <c r="AH32" i="1" s="1"/>
  <c r="AJ15" i="1"/>
  <c r="AJ16" i="1" s="1"/>
  <c r="AJ13" i="1" s="1"/>
  <c r="AI15" i="1"/>
  <c r="AI16" i="1" s="1"/>
  <c r="AJ12" i="1" s="1"/>
  <c r="AH29" i="1"/>
  <c r="AH30" i="1" s="1"/>
  <c r="AJ25" i="1" s="1"/>
  <c r="AG29" i="1"/>
  <c r="AG30" i="1" s="1"/>
  <c r="AH27" i="1" s="1"/>
  <c r="AF22" i="1"/>
  <c r="AF23" i="1" s="1"/>
  <c r="AH19" i="1" s="1"/>
  <c r="AE22" i="1"/>
  <c r="AE23" i="1" s="1"/>
  <c r="AH18" i="1" s="1"/>
  <c r="AJ36" i="1"/>
  <c r="AJ37" i="1" s="1"/>
  <c r="AJ34" i="1" s="1"/>
  <c r="AI36" i="1"/>
  <c r="AI37" i="1" s="1"/>
  <c r="AJ33" i="1" s="1"/>
  <c r="AH43" i="1"/>
  <c r="AH44" i="1" s="1"/>
  <c r="AJ39" i="1" s="1"/>
  <c r="AG43" i="1"/>
  <c r="AG44" i="1" s="1"/>
  <c r="AH41" i="1" s="1"/>
  <c r="AF15" i="1"/>
  <c r="AF16" i="1" s="1"/>
  <c r="AH12" i="1" s="1"/>
  <c r="AE15" i="1"/>
  <c r="AE16" i="1" s="1"/>
  <c r="AH11" i="1" s="1"/>
  <c r="AH15" i="1"/>
  <c r="AH16" i="1" s="1"/>
  <c r="AJ11" i="1" s="1"/>
  <c r="AG15" i="1"/>
  <c r="AG16" i="1" s="1"/>
  <c r="AH13" i="1" s="1"/>
  <c r="AG36" i="1"/>
  <c r="AG37" i="1" s="1"/>
  <c r="AH34" i="1" s="1"/>
  <c r="AH36" i="1"/>
  <c r="AH37" i="1" s="1"/>
  <c r="AJ32" i="1" s="1"/>
  <c r="AF29" i="1"/>
  <c r="AF30" i="1" s="1"/>
  <c r="AH26" i="1" s="1"/>
  <c r="AE29" i="1"/>
  <c r="AE30" i="1" s="1"/>
  <c r="AH25" i="1" s="1"/>
  <c r="AJ29" i="1"/>
  <c r="AJ30" i="1" s="1"/>
  <c r="AJ27" i="1" s="1"/>
  <c r="AI29" i="1"/>
  <c r="AI30" i="1" s="1"/>
  <c r="AJ26" i="1" s="1"/>
  <c r="AI8" i="1"/>
  <c r="AI9" i="1" s="1"/>
  <c r="AJ5" i="1" s="1"/>
  <c r="AJ8" i="1"/>
  <c r="AJ9" i="1" s="1"/>
  <c r="AJ6" i="1" s="1"/>
  <c r="AH8" i="1"/>
  <c r="AH9" i="1" s="1"/>
  <c r="AJ4" i="1" s="1"/>
  <c r="AG8" i="1"/>
  <c r="AG9" i="1" s="1"/>
  <c r="AH6" i="1" s="1"/>
  <c r="Y4" i="1"/>
  <c r="Z4" i="1" s="1"/>
  <c r="AA4" i="1" s="1"/>
  <c r="AB4" i="1" s="1"/>
  <c r="AF8" i="1"/>
  <c r="AF9" i="1" s="1"/>
  <c r="AH5" i="1" s="1"/>
  <c r="AE8" i="1"/>
  <c r="AE9" i="1" s="1"/>
  <c r="AH4" i="1" s="1"/>
  <c r="Y5" i="1"/>
  <c r="Z5" i="1" s="1"/>
  <c r="AA5" i="1" s="1"/>
  <c r="AB5" i="1" s="1"/>
</calcChain>
</file>

<file path=xl/sharedStrings.xml><?xml version="1.0" encoding="utf-8"?>
<sst xmlns="http://schemas.openxmlformats.org/spreadsheetml/2006/main" count="653" uniqueCount="139">
  <si>
    <t>concentraciones</t>
  </si>
  <si>
    <t>N</t>
  </si>
  <si>
    <t>P</t>
  </si>
  <si>
    <t>K</t>
  </si>
  <si>
    <t>Ca</t>
  </si>
  <si>
    <t>Mg</t>
  </si>
  <si>
    <t>S</t>
  </si>
  <si>
    <t>Fe</t>
  </si>
  <si>
    <t>Cu</t>
  </si>
  <si>
    <t>Zn</t>
  </si>
  <si>
    <t>Mn</t>
  </si>
  <si>
    <t>B</t>
  </si>
  <si>
    <t>Da</t>
  </si>
  <si>
    <t>Ap</t>
  </si>
  <si>
    <t>Wha</t>
  </si>
  <si>
    <t>Nt</t>
  </si>
  <si>
    <t>Na</t>
  </si>
  <si>
    <t>P-s</t>
  </si>
  <si>
    <t>K-s</t>
  </si>
  <si>
    <t>Ca-s</t>
  </si>
  <si>
    <t>Mg-s</t>
  </si>
  <si>
    <t>S-s</t>
  </si>
  <si>
    <t>Fe-s</t>
  </si>
  <si>
    <t>Cu-s</t>
  </si>
  <si>
    <t>Zn-s</t>
  </si>
  <si>
    <t>Mn-s</t>
  </si>
  <si>
    <t>B-s</t>
  </si>
  <si>
    <t>PPc</t>
  </si>
  <si>
    <t>Historico de producción (t/ha)</t>
  </si>
  <si>
    <t>Ajuste</t>
  </si>
  <si>
    <t>kg/ha de fertilizante</t>
  </si>
  <si>
    <t xml:space="preserve">Produccion en t/ha </t>
  </si>
  <si>
    <t>Eficiencias</t>
  </si>
  <si>
    <t>%</t>
  </si>
  <si>
    <t>NFC</t>
  </si>
  <si>
    <t xml:space="preserve">Kg/ha de fertilizante </t>
  </si>
  <si>
    <t>Conversion a Comercial</t>
  </si>
  <si>
    <t>Factor de coversión</t>
  </si>
  <si>
    <t>Kg/ha forma comercial.</t>
  </si>
  <si>
    <t>Analisis de suelo 1</t>
  </si>
  <si>
    <t>Nutrientes requeridos</t>
  </si>
  <si>
    <t>Redondeo</t>
  </si>
  <si>
    <t>Relacion</t>
  </si>
  <si>
    <t>*10</t>
  </si>
  <si>
    <t>div/2</t>
  </si>
  <si>
    <t>Analisis de suelo 2</t>
  </si>
  <si>
    <t>Analisis de suelo 3</t>
  </si>
  <si>
    <t>Analisis de suelo 4</t>
  </si>
  <si>
    <t>Analisis de suelo 5</t>
  </si>
  <si>
    <t>Analisis de suelo 6</t>
  </si>
  <si>
    <t>Fertilizacion con complejos</t>
  </si>
  <si>
    <t>Fertilizante complejo escogido</t>
  </si>
  <si>
    <t>P faltante a partir de N</t>
  </si>
  <si>
    <t>K faltante a partir de N</t>
  </si>
  <si>
    <t>N faltante a partir de P</t>
  </si>
  <si>
    <t>K faltante a partir de P</t>
  </si>
  <si>
    <t>N faltante a partir de K</t>
  </si>
  <si>
    <t>P faltante a partir de K</t>
  </si>
  <si>
    <t>PLAN DE FERTILIZACION</t>
  </si>
  <si>
    <t>CANTIDAD DE FERTILIZANTE COMP. A APLICAR</t>
  </si>
  <si>
    <t>CANTIDAD DE FERTILIZANTE SIMPLE PARA COMPENSAR</t>
  </si>
  <si>
    <t>P a N</t>
  </si>
  <si>
    <t>K a N</t>
  </si>
  <si>
    <t>N a P</t>
  </si>
  <si>
    <t>K a P</t>
  </si>
  <si>
    <t>N a K</t>
  </si>
  <si>
    <t>P a K</t>
  </si>
  <si>
    <t xml:space="preserve"> %de fert. Simple</t>
  </si>
  <si>
    <t>N1</t>
  </si>
  <si>
    <t>N2</t>
  </si>
  <si>
    <t>N3</t>
  </si>
  <si>
    <t>N4</t>
  </si>
  <si>
    <t>N5</t>
  </si>
  <si>
    <t>N6</t>
  </si>
  <si>
    <t>P1</t>
  </si>
  <si>
    <t>P2</t>
  </si>
  <si>
    <t>P3</t>
  </si>
  <si>
    <t>P4</t>
  </si>
  <si>
    <t>P5</t>
  </si>
  <si>
    <t>P6</t>
  </si>
  <si>
    <t>K1</t>
  </si>
  <si>
    <t>K2</t>
  </si>
  <si>
    <t>K3</t>
  </si>
  <si>
    <t>K4</t>
  </si>
  <si>
    <t>K5</t>
  </si>
  <si>
    <t>K6</t>
  </si>
  <si>
    <t>Ca1</t>
  </si>
  <si>
    <t>Ca3</t>
  </si>
  <si>
    <t>Ca2</t>
  </si>
  <si>
    <t>Ca4</t>
  </si>
  <si>
    <t>Ca5</t>
  </si>
  <si>
    <t>Ca6</t>
  </si>
  <si>
    <t>Mg1</t>
  </si>
  <si>
    <t>Mg2</t>
  </si>
  <si>
    <t>Mg3</t>
  </si>
  <si>
    <t>Mg4</t>
  </si>
  <si>
    <t>Mg5</t>
  </si>
  <si>
    <t>Mg6</t>
  </si>
  <si>
    <t>S1</t>
  </si>
  <si>
    <t>S2</t>
  </si>
  <si>
    <t>S3</t>
  </si>
  <si>
    <t>S4</t>
  </si>
  <si>
    <t>S5</t>
  </si>
  <si>
    <t>S6</t>
  </si>
  <si>
    <t>Fe1</t>
  </si>
  <si>
    <t>Fe2</t>
  </si>
  <si>
    <t>Fe3</t>
  </si>
  <si>
    <t>Fe4</t>
  </si>
  <si>
    <t>Fe5</t>
  </si>
  <si>
    <t>Fe6</t>
  </si>
  <si>
    <t>Cu1</t>
  </si>
  <si>
    <t>Cu2</t>
  </si>
  <si>
    <t>Cu3</t>
  </si>
  <si>
    <t>Cu4</t>
  </si>
  <si>
    <t>Cu5</t>
  </si>
  <si>
    <t>Cu6</t>
  </si>
  <si>
    <t>Zn1</t>
  </si>
  <si>
    <t>Zn2</t>
  </si>
  <si>
    <t>Zn3</t>
  </si>
  <si>
    <t>Zn4</t>
  </si>
  <si>
    <t>Zn5</t>
  </si>
  <si>
    <t>Zn6</t>
  </si>
  <si>
    <t>Mn1</t>
  </si>
  <si>
    <t>Mn2</t>
  </si>
  <si>
    <t>Mn3</t>
  </si>
  <si>
    <t>Mn4</t>
  </si>
  <si>
    <t>Mn5</t>
  </si>
  <si>
    <t>Mn6</t>
  </si>
  <si>
    <t>B1</t>
  </si>
  <si>
    <t>B2</t>
  </si>
  <si>
    <t>B3</t>
  </si>
  <si>
    <t>B4</t>
  </si>
  <si>
    <t>B5</t>
  </si>
  <si>
    <t>B6</t>
  </si>
  <si>
    <t>Fertilización simple</t>
  </si>
  <si>
    <t xml:space="preserve">Mn </t>
  </si>
  <si>
    <t>Nutriente</t>
  </si>
  <si>
    <t>Requerimiento nutricional kg/ha comercial</t>
  </si>
  <si>
    <t>Cantidad de fertilizante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</si>
</sst>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AEA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" fontId="0" fillId="7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7" borderId="1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0" xfId="0" applyFill="1"/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1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AE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6AAD-1C34-4A52-B882-7523DBC32AB3}">
  <dimension ref="A1:AR78"/>
  <sheetViews>
    <sheetView tabSelected="1" zoomScale="24" zoomScaleNormal="56" workbookViewId="0">
      <selection activeCell="BB80" sqref="BB80"/>
    </sheetView>
  </sheetViews>
  <sheetFormatPr baseColWidth="10" defaultRowHeight="14.4" x14ac:dyDescent="0.3"/>
  <cols>
    <col min="1" max="1" width="14.5546875" bestFit="1" customWidth="1"/>
    <col min="8" max="8" width="17.5546875" bestFit="1" customWidth="1"/>
    <col min="9" max="9" width="26.33203125" bestFit="1" customWidth="1"/>
    <col min="16" max="16" width="18.33203125" bestFit="1" customWidth="1"/>
    <col min="20" max="20" width="20.5546875" bestFit="1" customWidth="1"/>
    <col min="29" max="29" width="26.44140625" bestFit="1" customWidth="1"/>
    <col min="30" max="30" width="11.5546875" customWidth="1"/>
    <col min="31" max="31" width="18.6640625" bestFit="1" customWidth="1"/>
    <col min="32" max="32" width="18.5546875" bestFit="1" customWidth="1"/>
    <col min="33" max="33" width="18.88671875" bestFit="1" customWidth="1"/>
    <col min="34" max="34" width="18.6640625" bestFit="1" customWidth="1"/>
    <col min="35" max="35" width="18.88671875" bestFit="1" customWidth="1"/>
    <col min="36" max="36" width="18.6640625" bestFit="1" customWidth="1"/>
    <col min="37" max="37" width="17.44140625" bestFit="1" customWidth="1"/>
    <col min="43" max="43" width="41.109375" bestFit="1" customWidth="1"/>
    <col min="44" max="44" width="23" bestFit="1" customWidth="1"/>
  </cols>
  <sheetData>
    <row r="1" spans="1:44" x14ac:dyDescent="0.3">
      <c r="A1" s="12" t="s">
        <v>12</v>
      </c>
      <c r="B1" s="12"/>
      <c r="C1" s="12" t="s">
        <v>13</v>
      </c>
      <c r="D1" s="12"/>
      <c r="E1" s="12" t="s">
        <v>14</v>
      </c>
      <c r="F1" s="12">
        <f>B1*(D1*10000)*1000</f>
        <v>0</v>
      </c>
      <c r="G1" s="46" t="s">
        <v>27</v>
      </c>
      <c r="H1" s="12"/>
      <c r="I1" s="12" t="s">
        <v>28</v>
      </c>
      <c r="J1" s="12"/>
      <c r="K1" s="41"/>
      <c r="L1" s="44" t="s">
        <v>32</v>
      </c>
      <c r="M1" s="18" t="s">
        <v>33</v>
      </c>
      <c r="N1" s="41"/>
      <c r="O1" s="44" t="s">
        <v>34</v>
      </c>
      <c r="P1" s="17" t="s">
        <v>35</v>
      </c>
      <c r="Q1" s="30"/>
      <c r="R1" s="18" t="s">
        <v>36</v>
      </c>
      <c r="S1" s="18"/>
      <c r="T1" s="18"/>
      <c r="V1" s="18" t="s">
        <v>50</v>
      </c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N1" s="59" t="s">
        <v>134</v>
      </c>
      <c r="AO1" s="59"/>
      <c r="AP1" s="59"/>
      <c r="AQ1" s="59"/>
      <c r="AR1" s="59"/>
    </row>
    <row r="2" spans="1:44" x14ac:dyDescent="0.3">
      <c r="A2" s="18" t="s">
        <v>0</v>
      </c>
      <c r="B2" s="18"/>
      <c r="C2" s="12" t="s">
        <v>15</v>
      </c>
      <c r="D2" s="12" t="s">
        <v>16</v>
      </c>
      <c r="E2" s="33"/>
      <c r="F2" s="34"/>
      <c r="G2" s="18"/>
      <c r="H2" s="12" t="s">
        <v>30</v>
      </c>
      <c r="I2" s="12" t="s">
        <v>31</v>
      </c>
      <c r="J2" s="12" t="s">
        <v>29</v>
      </c>
      <c r="K2" s="42"/>
      <c r="L2" s="44"/>
      <c r="M2" s="18"/>
      <c r="N2" s="42"/>
      <c r="O2" s="44"/>
      <c r="P2" s="17"/>
      <c r="Q2" s="31"/>
      <c r="R2" s="18" t="s">
        <v>37</v>
      </c>
      <c r="S2" s="18"/>
      <c r="T2" s="12" t="s">
        <v>38</v>
      </c>
      <c r="V2" s="26" t="s">
        <v>39</v>
      </c>
      <c r="W2" s="26"/>
      <c r="X2" s="26"/>
      <c r="Y2" s="26"/>
      <c r="Z2" s="26"/>
      <c r="AA2" s="26"/>
      <c r="AB2" s="26"/>
      <c r="AC2" s="26" t="s">
        <v>51</v>
      </c>
      <c r="AD2" s="26"/>
      <c r="AE2" s="17" t="s">
        <v>58</v>
      </c>
      <c r="AF2" s="17"/>
      <c r="AG2" s="17"/>
      <c r="AH2" s="17"/>
      <c r="AI2" s="17"/>
      <c r="AJ2" s="17"/>
      <c r="AK2" s="17"/>
      <c r="AL2" s="17"/>
      <c r="AN2" s="55" t="s">
        <v>67</v>
      </c>
      <c r="AO2" s="56"/>
      <c r="AP2" s="54" t="s">
        <v>136</v>
      </c>
      <c r="AQ2" s="54" t="s">
        <v>137</v>
      </c>
      <c r="AR2" s="54" t="s">
        <v>138</v>
      </c>
    </row>
    <row r="3" spans="1:44" x14ac:dyDescent="0.3">
      <c r="A3" s="3" t="s">
        <v>68</v>
      </c>
      <c r="B3" s="3"/>
      <c r="C3" s="3">
        <f>B3/20</f>
        <v>0</v>
      </c>
      <c r="D3" s="3">
        <f>((C3)*(0.015)*($F$1))/100</f>
        <v>0</v>
      </c>
      <c r="E3" s="35"/>
      <c r="F3" s="36"/>
      <c r="G3" s="3" t="s">
        <v>1</v>
      </c>
      <c r="H3" s="3"/>
      <c r="I3" s="3"/>
      <c r="J3" s="3" t="e">
        <f>($J$1*H3)/I3</f>
        <v>#DIV/0!</v>
      </c>
      <c r="K3" s="42"/>
      <c r="L3" s="3" t="s">
        <v>1</v>
      </c>
      <c r="M3" s="3"/>
      <c r="N3" s="42"/>
      <c r="O3" s="3" t="s">
        <v>1</v>
      </c>
      <c r="P3" s="3" t="e">
        <f>((J3-D3)/M3)*100</f>
        <v>#DIV/0!</v>
      </c>
      <c r="Q3" s="31"/>
      <c r="R3" s="3" t="s">
        <v>1</v>
      </c>
      <c r="S3" s="3">
        <v>1</v>
      </c>
      <c r="T3" s="3" t="e">
        <f>P3*S3</f>
        <v>#DIV/0!</v>
      </c>
      <c r="V3" s="25" t="s">
        <v>40</v>
      </c>
      <c r="W3" s="25"/>
      <c r="X3" s="10" t="s">
        <v>41</v>
      </c>
      <c r="Y3" s="10" t="s">
        <v>42</v>
      </c>
      <c r="Z3" s="10" t="s">
        <v>43</v>
      </c>
      <c r="AA3" s="10" t="s">
        <v>44</v>
      </c>
      <c r="AB3" s="10" t="s">
        <v>44</v>
      </c>
      <c r="AC3" s="10"/>
      <c r="AD3" s="10"/>
      <c r="AE3" s="19" t="s">
        <v>59</v>
      </c>
      <c r="AF3" s="20"/>
      <c r="AG3" s="19" t="s">
        <v>60</v>
      </c>
      <c r="AH3" s="21"/>
      <c r="AI3" s="21"/>
      <c r="AJ3" s="20"/>
      <c r="AK3" s="16" t="s">
        <v>67</v>
      </c>
      <c r="AL3" s="16"/>
      <c r="AN3" s="57"/>
      <c r="AO3" s="58"/>
      <c r="AP3" s="60" t="s">
        <v>1</v>
      </c>
      <c r="AQ3" s="60" t="e">
        <f>T3</f>
        <v>#DIV/0!</v>
      </c>
      <c r="AR3" s="60" t="e">
        <f>(100*AQ3)/$AO$4</f>
        <v>#DIV/0!</v>
      </c>
    </row>
    <row r="4" spans="1:44" x14ac:dyDescent="0.3">
      <c r="A4" s="3" t="s">
        <v>69</v>
      </c>
      <c r="B4" s="3"/>
      <c r="C4" s="3">
        <f t="shared" ref="C4:C8" si="0">B4/20</f>
        <v>0</v>
      </c>
      <c r="D4" s="3">
        <f t="shared" ref="D4:D8" si="1">((C4)*(0.015)*($F$1))/100</f>
        <v>0</v>
      </c>
      <c r="E4" s="35"/>
      <c r="F4" s="36"/>
      <c r="G4" s="3" t="s">
        <v>1</v>
      </c>
      <c r="H4" s="3"/>
      <c r="I4" s="3"/>
      <c r="J4" s="3" t="e">
        <f t="shared" ref="J4:J60" si="2">($J$1*H4)/I4</f>
        <v>#DIV/0!</v>
      </c>
      <c r="K4" s="42"/>
      <c r="L4" s="3" t="s">
        <v>1</v>
      </c>
      <c r="M4" s="3"/>
      <c r="N4" s="42"/>
      <c r="O4" s="3" t="s">
        <v>1</v>
      </c>
      <c r="P4" s="3" t="e">
        <f t="shared" ref="P4:P8" si="3">((J4-D4)/M4)*100</f>
        <v>#DIV/0!</v>
      </c>
      <c r="Q4" s="31"/>
      <c r="R4" s="3" t="s">
        <v>1</v>
      </c>
      <c r="S4" s="3">
        <v>1</v>
      </c>
      <c r="T4" s="3" t="e">
        <f t="shared" ref="T4:T67" si="4">P4*S4</f>
        <v>#DIV/0!</v>
      </c>
      <c r="V4" s="10" t="s">
        <v>1</v>
      </c>
      <c r="W4" s="10" t="e">
        <f>T3</f>
        <v>#DIV/0!</v>
      </c>
      <c r="X4" s="10" t="e">
        <f>MROUND(W4,10)</f>
        <v>#DIV/0!</v>
      </c>
      <c r="Y4" s="10" t="e">
        <f>X4/MIN(X4:X6)</f>
        <v>#DIV/0!</v>
      </c>
      <c r="Z4" s="10" t="e">
        <f>Y4*10</f>
        <v>#DIV/0!</v>
      </c>
      <c r="AA4" s="10" t="e">
        <f t="shared" ref="AA4:AB6" si="5">Z4/2</f>
        <v>#DIV/0!</v>
      </c>
      <c r="AB4" s="11" t="e">
        <f t="shared" si="5"/>
        <v>#DIV/0!</v>
      </c>
      <c r="AC4" s="10" t="s">
        <v>1</v>
      </c>
      <c r="AD4" s="10"/>
      <c r="AE4" s="13" t="s">
        <v>1</v>
      </c>
      <c r="AF4" s="13" t="e">
        <f>((100*W4)/AD4)</f>
        <v>#DIV/0!</v>
      </c>
      <c r="AG4" s="2" t="s">
        <v>61</v>
      </c>
      <c r="AH4" s="2" t="e">
        <f>(100*AE9)/AL4</f>
        <v>#DIV/0!</v>
      </c>
      <c r="AI4" s="2" t="s">
        <v>64</v>
      </c>
      <c r="AJ4" s="2" t="e">
        <f>(100*AH9)/AL6</f>
        <v>#DIV/0!</v>
      </c>
      <c r="AK4" s="15" t="s">
        <v>1</v>
      </c>
      <c r="AL4" s="15"/>
      <c r="AN4" s="15" t="s">
        <v>1</v>
      </c>
      <c r="AO4" s="15"/>
      <c r="AP4" s="60" t="s">
        <v>1</v>
      </c>
      <c r="AQ4" s="60" t="e">
        <f>T4</f>
        <v>#DIV/0!</v>
      </c>
      <c r="AR4" s="60" t="e">
        <f>(100*AQ4)/$AO$4</f>
        <v>#DIV/0!</v>
      </c>
    </row>
    <row r="5" spans="1:44" x14ac:dyDescent="0.3">
      <c r="A5" s="3" t="s">
        <v>70</v>
      </c>
      <c r="B5" s="3"/>
      <c r="C5" s="3">
        <f t="shared" si="0"/>
        <v>0</v>
      </c>
      <c r="D5" s="3">
        <f t="shared" si="1"/>
        <v>0</v>
      </c>
      <c r="E5" s="35"/>
      <c r="F5" s="36"/>
      <c r="G5" s="3" t="s">
        <v>1</v>
      </c>
      <c r="H5" s="3"/>
      <c r="I5" s="3"/>
      <c r="J5" s="3" t="e">
        <f t="shared" si="2"/>
        <v>#DIV/0!</v>
      </c>
      <c r="K5" s="42"/>
      <c r="L5" s="3" t="s">
        <v>1</v>
      </c>
      <c r="M5" s="3"/>
      <c r="N5" s="42"/>
      <c r="O5" s="3" t="s">
        <v>1</v>
      </c>
      <c r="P5" s="3" t="e">
        <f t="shared" si="3"/>
        <v>#DIV/0!</v>
      </c>
      <c r="Q5" s="31"/>
      <c r="R5" s="3" t="s">
        <v>1</v>
      </c>
      <c r="S5" s="3">
        <v>1</v>
      </c>
      <c r="T5" s="3" t="e">
        <f t="shared" si="4"/>
        <v>#DIV/0!</v>
      </c>
      <c r="V5" s="10" t="s">
        <v>2</v>
      </c>
      <c r="W5" s="10" t="e">
        <f>T10</f>
        <v>#DIV/0!</v>
      </c>
      <c r="X5" s="10" t="e">
        <f t="shared" ref="X5:X6" si="6">MROUND(W5,10)</f>
        <v>#DIV/0!</v>
      </c>
      <c r="Y5" s="10" t="e">
        <f t="shared" ref="Y5:Y6" si="7">X5/MIN(X5:X7)</f>
        <v>#DIV/0!</v>
      </c>
      <c r="Z5" s="10" t="e">
        <f t="shared" ref="Z5:Z6" si="8">Y5*10</f>
        <v>#DIV/0!</v>
      </c>
      <c r="AA5" s="10" t="e">
        <f t="shared" si="5"/>
        <v>#DIV/0!</v>
      </c>
      <c r="AB5" s="11" t="e">
        <f t="shared" si="5"/>
        <v>#DIV/0!</v>
      </c>
      <c r="AC5" s="10" t="s">
        <v>2</v>
      </c>
      <c r="AD5" s="10"/>
      <c r="AE5" s="13" t="s">
        <v>2</v>
      </c>
      <c r="AF5" s="13" t="e">
        <f t="shared" ref="AF5:AF34" si="9">((100*W5)/AD5)</f>
        <v>#DIV/0!</v>
      </c>
      <c r="AG5" s="2" t="s">
        <v>62</v>
      </c>
      <c r="AH5" s="2" t="e">
        <f>(100*AF9)/AL6</f>
        <v>#DIV/0!</v>
      </c>
      <c r="AI5" s="2" t="s">
        <v>65</v>
      </c>
      <c r="AJ5" s="2" t="e">
        <f>(100*AI9)/AL4</f>
        <v>#DIV/0!</v>
      </c>
      <c r="AK5" s="15" t="s">
        <v>2</v>
      </c>
      <c r="AL5" s="15"/>
      <c r="AN5" s="15" t="s">
        <v>2</v>
      </c>
      <c r="AO5" s="15"/>
      <c r="AP5" s="60" t="s">
        <v>1</v>
      </c>
      <c r="AQ5" s="60" t="e">
        <f>T5</f>
        <v>#DIV/0!</v>
      </c>
      <c r="AR5" s="60" t="e">
        <f t="shared" ref="AR4:AR67" si="10">(100*AQ5)/$AO$4</f>
        <v>#DIV/0!</v>
      </c>
    </row>
    <row r="6" spans="1:44" x14ac:dyDescent="0.3">
      <c r="A6" s="3" t="s">
        <v>71</v>
      </c>
      <c r="B6" s="3"/>
      <c r="C6" s="3">
        <f t="shared" si="0"/>
        <v>0</v>
      </c>
      <c r="D6" s="3">
        <f t="shared" si="1"/>
        <v>0</v>
      </c>
      <c r="E6" s="35"/>
      <c r="F6" s="36"/>
      <c r="G6" s="3" t="s">
        <v>1</v>
      </c>
      <c r="H6" s="3"/>
      <c r="I6" s="3"/>
      <c r="J6" s="3" t="e">
        <f t="shared" si="2"/>
        <v>#DIV/0!</v>
      </c>
      <c r="K6" s="42"/>
      <c r="L6" s="3" t="s">
        <v>1</v>
      </c>
      <c r="M6" s="3"/>
      <c r="N6" s="42"/>
      <c r="O6" s="3" t="s">
        <v>1</v>
      </c>
      <c r="P6" s="3" t="e">
        <f t="shared" si="3"/>
        <v>#DIV/0!</v>
      </c>
      <c r="Q6" s="31"/>
      <c r="R6" s="3" t="s">
        <v>1</v>
      </c>
      <c r="S6" s="3">
        <v>1</v>
      </c>
      <c r="T6" s="3" t="e">
        <f t="shared" si="4"/>
        <v>#DIV/0!</v>
      </c>
      <c r="V6" s="10" t="s">
        <v>3</v>
      </c>
      <c r="W6" s="10" t="e">
        <f>T17</f>
        <v>#DIV/0!</v>
      </c>
      <c r="X6" s="10" t="e">
        <f t="shared" si="6"/>
        <v>#DIV/0!</v>
      </c>
      <c r="Y6" s="10" t="e">
        <f t="shared" si="7"/>
        <v>#DIV/0!</v>
      </c>
      <c r="Z6" s="10" t="e">
        <f t="shared" si="8"/>
        <v>#DIV/0!</v>
      </c>
      <c r="AA6" s="10" t="e">
        <f t="shared" si="5"/>
        <v>#DIV/0!</v>
      </c>
      <c r="AB6" s="11" t="e">
        <f t="shared" si="5"/>
        <v>#DIV/0!</v>
      </c>
      <c r="AC6" s="10" t="s">
        <v>3</v>
      </c>
      <c r="AD6" s="10"/>
      <c r="AE6" s="13" t="s">
        <v>3</v>
      </c>
      <c r="AF6" s="13" t="e">
        <f t="shared" si="9"/>
        <v>#DIV/0!</v>
      </c>
      <c r="AG6" s="2" t="s">
        <v>63</v>
      </c>
      <c r="AH6" s="2" t="e">
        <f>(100*AG9)/AL5</f>
        <v>#DIV/0!</v>
      </c>
      <c r="AI6" s="2" t="s">
        <v>66</v>
      </c>
      <c r="AJ6" s="2" t="e">
        <f>(100*AJ9)/AL6</f>
        <v>#DIV/0!</v>
      </c>
      <c r="AK6" s="15" t="s">
        <v>3</v>
      </c>
      <c r="AL6" s="15"/>
      <c r="AN6" s="15" t="s">
        <v>3</v>
      </c>
      <c r="AO6" s="15"/>
      <c r="AP6" s="60" t="s">
        <v>1</v>
      </c>
      <c r="AQ6" s="60" t="e">
        <f>T6</f>
        <v>#DIV/0!</v>
      </c>
      <c r="AR6" s="60" t="e">
        <f t="shared" si="10"/>
        <v>#DIV/0!</v>
      </c>
    </row>
    <row r="7" spans="1:44" x14ac:dyDescent="0.3">
      <c r="A7" s="3" t="s">
        <v>72</v>
      </c>
      <c r="B7" s="3"/>
      <c r="C7" s="3">
        <f t="shared" si="0"/>
        <v>0</v>
      </c>
      <c r="D7" s="3">
        <f t="shared" si="1"/>
        <v>0</v>
      </c>
      <c r="E7" s="35"/>
      <c r="F7" s="36"/>
      <c r="G7" s="3" t="s">
        <v>1</v>
      </c>
      <c r="H7" s="3"/>
      <c r="I7" s="3"/>
      <c r="J7" s="3" t="e">
        <f t="shared" si="2"/>
        <v>#DIV/0!</v>
      </c>
      <c r="K7" s="42"/>
      <c r="L7" s="3" t="s">
        <v>1</v>
      </c>
      <c r="M7" s="3"/>
      <c r="N7" s="42"/>
      <c r="O7" s="3" t="s">
        <v>1</v>
      </c>
      <c r="P7" s="3" t="e">
        <f t="shared" si="3"/>
        <v>#DIV/0!</v>
      </c>
      <c r="Q7" s="31"/>
      <c r="R7" s="3" t="s">
        <v>1</v>
      </c>
      <c r="S7" s="3">
        <v>1</v>
      </c>
      <c r="T7" s="3" t="e">
        <f t="shared" si="4"/>
        <v>#DIV/0!</v>
      </c>
      <c r="V7" s="25"/>
      <c r="W7" s="25"/>
      <c r="X7" s="25"/>
      <c r="Y7" s="25"/>
      <c r="Z7" s="25"/>
      <c r="AA7" s="25"/>
      <c r="AB7" s="25"/>
      <c r="AC7" s="25"/>
      <c r="AD7" s="25"/>
      <c r="AE7" s="14" t="s">
        <v>52</v>
      </c>
      <c r="AF7" s="14" t="s">
        <v>53</v>
      </c>
      <c r="AG7" s="14" t="s">
        <v>54</v>
      </c>
      <c r="AH7" s="14" t="s">
        <v>55</v>
      </c>
      <c r="AI7" s="14" t="s">
        <v>56</v>
      </c>
      <c r="AJ7" s="14" t="s">
        <v>57</v>
      </c>
      <c r="AK7" s="48"/>
      <c r="AL7" s="49"/>
      <c r="AN7" s="15" t="s">
        <v>4</v>
      </c>
      <c r="AO7" s="15"/>
      <c r="AP7" s="60" t="s">
        <v>1</v>
      </c>
      <c r="AQ7" s="60" t="e">
        <f>T7</f>
        <v>#DIV/0!</v>
      </c>
      <c r="AR7" s="60" t="e">
        <f t="shared" si="10"/>
        <v>#DIV/0!</v>
      </c>
    </row>
    <row r="8" spans="1:44" x14ac:dyDescent="0.3">
      <c r="A8" s="3" t="s">
        <v>73</v>
      </c>
      <c r="B8" s="3"/>
      <c r="C8" s="3">
        <f t="shared" si="0"/>
        <v>0</v>
      </c>
      <c r="D8" s="3">
        <f t="shared" si="1"/>
        <v>0</v>
      </c>
      <c r="E8" s="35"/>
      <c r="F8" s="36"/>
      <c r="G8" s="3" t="s">
        <v>1</v>
      </c>
      <c r="H8" s="3"/>
      <c r="I8" s="3"/>
      <c r="J8" s="3" t="e">
        <f t="shared" si="2"/>
        <v>#DIV/0!</v>
      </c>
      <c r="K8" s="42"/>
      <c r="L8" s="3" t="s">
        <v>1</v>
      </c>
      <c r="M8" s="3"/>
      <c r="N8" s="42"/>
      <c r="O8" s="3" t="s">
        <v>1</v>
      </c>
      <c r="P8" s="3" t="e">
        <f t="shared" si="3"/>
        <v>#DIV/0!</v>
      </c>
      <c r="Q8" s="31"/>
      <c r="R8" s="3" t="s">
        <v>1</v>
      </c>
      <c r="S8" s="3">
        <v>1</v>
      </c>
      <c r="T8" s="3" t="e">
        <f t="shared" si="4"/>
        <v>#DIV/0!</v>
      </c>
      <c r="V8" s="25"/>
      <c r="W8" s="25"/>
      <c r="X8" s="25"/>
      <c r="Y8" s="25"/>
      <c r="Z8" s="25"/>
      <c r="AA8" s="25"/>
      <c r="AB8" s="25"/>
      <c r="AC8" s="25"/>
      <c r="AD8" s="25"/>
      <c r="AE8" s="14" t="e">
        <f>(AF4*AD5)/100</f>
        <v>#DIV/0!</v>
      </c>
      <c r="AF8" s="14" t="e">
        <f>(AF4*AD6)/100</f>
        <v>#DIV/0!</v>
      </c>
      <c r="AG8" s="14" t="e">
        <f>((AF5*AD4)/100)</f>
        <v>#DIV/0!</v>
      </c>
      <c r="AH8" s="14" t="e">
        <f>(AF5*AD6)/100</f>
        <v>#DIV/0!</v>
      </c>
      <c r="AI8" s="14" t="e">
        <f>(AF6*AD4)/100</f>
        <v>#DIV/0!</v>
      </c>
      <c r="AJ8" s="14" t="e">
        <f>(AF6*AD5)/100</f>
        <v>#DIV/0!</v>
      </c>
      <c r="AK8" s="50"/>
      <c r="AL8" s="51"/>
      <c r="AN8" s="15" t="s">
        <v>5</v>
      </c>
      <c r="AO8" s="15"/>
      <c r="AP8" s="60" t="s">
        <v>1</v>
      </c>
      <c r="AQ8" s="60" t="e">
        <f>T8</f>
        <v>#DIV/0!</v>
      </c>
      <c r="AR8" s="60" t="e">
        <f t="shared" si="10"/>
        <v>#DIV/0!</v>
      </c>
    </row>
    <row r="9" spans="1:44" x14ac:dyDescent="0.3">
      <c r="A9" s="45"/>
      <c r="B9" s="45"/>
      <c r="C9" s="2" t="s">
        <v>17</v>
      </c>
      <c r="D9" s="33"/>
      <c r="E9" s="37"/>
      <c r="F9" s="36"/>
      <c r="G9" s="47"/>
      <c r="H9" s="47"/>
      <c r="I9" s="47"/>
      <c r="J9" s="47"/>
      <c r="K9" s="42"/>
      <c r="L9" s="27"/>
      <c r="M9" s="29"/>
      <c r="N9" s="42"/>
      <c r="O9" s="27"/>
      <c r="P9" s="29"/>
      <c r="Q9" s="31"/>
      <c r="R9" s="27"/>
      <c r="S9" s="28"/>
      <c r="T9" s="29"/>
      <c r="V9" s="25" t="s">
        <v>45</v>
      </c>
      <c r="W9" s="25"/>
      <c r="X9" s="25"/>
      <c r="Y9" s="25"/>
      <c r="Z9" s="25"/>
      <c r="AA9" s="25"/>
      <c r="AB9" s="25"/>
      <c r="AC9" s="25" t="s">
        <v>51</v>
      </c>
      <c r="AD9" s="25"/>
      <c r="AE9" s="14" t="e">
        <f>W5-AE8</f>
        <v>#DIV/0!</v>
      </c>
      <c r="AF9" s="14" t="e">
        <f>W6-AF8</f>
        <v>#DIV/0!</v>
      </c>
      <c r="AG9" s="14" t="e">
        <f>W4-AG8</f>
        <v>#DIV/0!</v>
      </c>
      <c r="AH9" s="14" t="e">
        <f>W6-AH8</f>
        <v>#DIV/0!</v>
      </c>
      <c r="AI9" s="14" t="e">
        <f>W4-AI8</f>
        <v>#DIV/0!</v>
      </c>
      <c r="AJ9" s="14" t="e">
        <f>W5-AJ8</f>
        <v>#DIV/0!</v>
      </c>
      <c r="AK9" s="52"/>
      <c r="AL9" s="53"/>
      <c r="AN9" s="15" t="s">
        <v>6</v>
      </c>
      <c r="AO9" s="15"/>
      <c r="AP9" s="27"/>
      <c r="AQ9" s="28"/>
      <c r="AR9" s="29"/>
    </row>
    <row r="10" spans="1:44" x14ac:dyDescent="0.3">
      <c r="A10" s="5" t="s">
        <v>74</v>
      </c>
      <c r="B10" s="5"/>
      <c r="C10" s="5">
        <f>($F$1*B10)/1000000</f>
        <v>0</v>
      </c>
      <c r="D10" s="35"/>
      <c r="E10" s="37"/>
      <c r="F10" s="36"/>
      <c r="G10" s="5" t="s">
        <v>2</v>
      </c>
      <c r="H10" s="5"/>
      <c r="I10" s="5"/>
      <c r="J10" s="5" t="e">
        <f>($J$1*H10)/I10</f>
        <v>#DIV/0!</v>
      </c>
      <c r="K10" s="42"/>
      <c r="L10" s="5" t="s">
        <v>2</v>
      </c>
      <c r="M10" s="5"/>
      <c r="N10" s="42"/>
      <c r="O10" s="5" t="s">
        <v>2</v>
      </c>
      <c r="P10" s="5" t="e">
        <f>((J10-C10)/M10)*100</f>
        <v>#DIV/0!</v>
      </c>
      <c r="Q10" s="31"/>
      <c r="R10" s="5" t="s">
        <v>2</v>
      </c>
      <c r="S10" s="5">
        <v>2.29</v>
      </c>
      <c r="T10" s="5" t="e">
        <f t="shared" si="4"/>
        <v>#DIV/0!</v>
      </c>
      <c r="V10" s="25" t="s">
        <v>40</v>
      </c>
      <c r="W10" s="25"/>
      <c r="X10" s="10" t="s">
        <v>41</v>
      </c>
      <c r="Y10" s="10" t="s">
        <v>42</v>
      </c>
      <c r="Z10" s="10" t="s">
        <v>43</v>
      </c>
      <c r="AA10" s="10" t="s">
        <v>44</v>
      </c>
      <c r="AB10" s="10" t="s">
        <v>44</v>
      </c>
      <c r="AC10" s="10"/>
      <c r="AD10" s="10"/>
      <c r="AE10" s="22" t="s">
        <v>59</v>
      </c>
      <c r="AF10" s="23"/>
      <c r="AG10" s="22" t="s">
        <v>60</v>
      </c>
      <c r="AH10" s="24"/>
      <c r="AI10" s="24"/>
      <c r="AJ10" s="23"/>
      <c r="AK10" s="16" t="s">
        <v>67</v>
      </c>
      <c r="AL10" s="16"/>
      <c r="AN10" s="15" t="s">
        <v>7</v>
      </c>
      <c r="AO10" s="15"/>
      <c r="AP10" s="60" t="s">
        <v>2</v>
      </c>
      <c r="AQ10" s="60" t="e">
        <f>T10</f>
        <v>#DIV/0!</v>
      </c>
      <c r="AR10" s="60" t="e">
        <f>(100*AQ10)/$AO$5</f>
        <v>#DIV/0!</v>
      </c>
    </row>
    <row r="11" spans="1:44" x14ac:dyDescent="0.3">
      <c r="A11" s="5" t="s">
        <v>75</v>
      </c>
      <c r="B11" s="5"/>
      <c r="C11" s="5">
        <f t="shared" ref="C11:C15" si="11">($F$1*B11)/1000000</f>
        <v>0</v>
      </c>
      <c r="D11" s="35"/>
      <c r="E11" s="37"/>
      <c r="F11" s="36"/>
      <c r="G11" s="5" t="s">
        <v>2</v>
      </c>
      <c r="H11" s="5"/>
      <c r="I11" s="5"/>
      <c r="J11" s="5" t="e">
        <f t="shared" si="2"/>
        <v>#DIV/0!</v>
      </c>
      <c r="K11" s="42"/>
      <c r="L11" s="5" t="s">
        <v>2</v>
      </c>
      <c r="M11" s="5"/>
      <c r="N11" s="42"/>
      <c r="O11" s="5" t="s">
        <v>2</v>
      </c>
      <c r="P11" s="5" t="e">
        <f t="shared" ref="P11:P74" si="12">((J11-C11)/M11)*100</f>
        <v>#DIV/0!</v>
      </c>
      <c r="Q11" s="31"/>
      <c r="R11" s="5" t="s">
        <v>2</v>
      </c>
      <c r="S11" s="5">
        <v>2.29</v>
      </c>
      <c r="T11" s="5" t="e">
        <f t="shared" si="4"/>
        <v>#DIV/0!</v>
      </c>
      <c r="V11" s="10" t="s">
        <v>1</v>
      </c>
      <c r="W11" s="10" t="e">
        <f>T4</f>
        <v>#DIV/0!</v>
      </c>
      <c r="X11" s="10" t="e">
        <f>MROUND(W11,10)</f>
        <v>#DIV/0!</v>
      </c>
      <c r="Y11" s="10" t="e">
        <f>X11/MIN(X11:X13)</f>
        <v>#DIV/0!</v>
      </c>
      <c r="Z11" s="10" t="e">
        <f>Y11*10</f>
        <v>#DIV/0!</v>
      </c>
      <c r="AA11" s="10" t="e">
        <f t="shared" ref="AA11:AB13" si="13">Z11/2</f>
        <v>#DIV/0!</v>
      </c>
      <c r="AB11" s="11" t="e">
        <f t="shared" si="13"/>
        <v>#DIV/0!</v>
      </c>
      <c r="AC11" s="10" t="s">
        <v>1</v>
      </c>
      <c r="AD11" s="10"/>
      <c r="AE11" s="13" t="s">
        <v>1</v>
      </c>
      <c r="AF11" s="13" t="e">
        <f t="shared" si="9"/>
        <v>#DIV/0!</v>
      </c>
      <c r="AG11" s="2" t="s">
        <v>61</v>
      </c>
      <c r="AH11" s="2" t="e">
        <f>(100*AE16)/AL11</f>
        <v>#DIV/0!</v>
      </c>
      <c r="AI11" s="2" t="s">
        <v>64</v>
      </c>
      <c r="AJ11" s="2" t="e">
        <f>(100*AH16)/AL13</f>
        <v>#DIV/0!</v>
      </c>
      <c r="AK11" s="15" t="s">
        <v>1</v>
      </c>
      <c r="AL11" s="15"/>
      <c r="AN11" s="15" t="s">
        <v>8</v>
      </c>
      <c r="AO11" s="15"/>
      <c r="AP11" s="60" t="s">
        <v>2</v>
      </c>
      <c r="AQ11" s="60" t="e">
        <f>T11</f>
        <v>#DIV/0!</v>
      </c>
      <c r="AR11" s="60" t="e">
        <f t="shared" ref="AR11:AR15" si="14">(100*AQ11)/$AO$5</f>
        <v>#DIV/0!</v>
      </c>
    </row>
    <row r="12" spans="1:44" x14ac:dyDescent="0.3">
      <c r="A12" s="5" t="s">
        <v>76</v>
      </c>
      <c r="B12" s="5"/>
      <c r="C12" s="5">
        <f t="shared" si="11"/>
        <v>0</v>
      </c>
      <c r="D12" s="35"/>
      <c r="E12" s="37"/>
      <c r="F12" s="36"/>
      <c r="G12" s="5" t="s">
        <v>2</v>
      </c>
      <c r="H12" s="5"/>
      <c r="I12" s="5"/>
      <c r="J12" s="5" t="e">
        <f t="shared" si="2"/>
        <v>#DIV/0!</v>
      </c>
      <c r="K12" s="42"/>
      <c r="L12" s="5" t="s">
        <v>2</v>
      </c>
      <c r="M12" s="5"/>
      <c r="N12" s="42"/>
      <c r="O12" s="5" t="s">
        <v>2</v>
      </c>
      <c r="P12" s="5" t="e">
        <f t="shared" si="12"/>
        <v>#DIV/0!</v>
      </c>
      <c r="Q12" s="31"/>
      <c r="R12" s="5" t="s">
        <v>2</v>
      </c>
      <c r="S12" s="5">
        <v>2.29</v>
      </c>
      <c r="T12" s="5" t="e">
        <f t="shared" si="4"/>
        <v>#DIV/0!</v>
      </c>
      <c r="V12" s="10" t="s">
        <v>2</v>
      </c>
      <c r="W12" s="10" t="e">
        <f>T11</f>
        <v>#DIV/0!</v>
      </c>
      <c r="X12" s="10" t="e">
        <f t="shared" ref="X12:X13" si="15">MROUND(W12,10)</f>
        <v>#DIV/0!</v>
      </c>
      <c r="Y12" s="10" t="e">
        <f t="shared" ref="Y12:Y13" si="16">X12/MIN(X12:X14)</f>
        <v>#DIV/0!</v>
      </c>
      <c r="Z12" s="10" t="e">
        <f t="shared" ref="Z12:Z13" si="17">Y12*10</f>
        <v>#DIV/0!</v>
      </c>
      <c r="AA12" s="10" t="e">
        <f t="shared" si="13"/>
        <v>#DIV/0!</v>
      </c>
      <c r="AB12" s="11" t="e">
        <f t="shared" si="13"/>
        <v>#DIV/0!</v>
      </c>
      <c r="AC12" s="10" t="s">
        <v>2</v>
      </c>
      <c r="AD12" s="10"/>
      <c r="AE12" s="13" t="s">
        <v>2</v>
      </c>
      <c r="AF12" s="13" t="e">
        <f t="shared" si="9"/>
        <v>#DIV/0!</v>
      </c>
      <c r="AG12" s="2" t="s">
        <v>62</v>
      </c>
      <c r="AH12" s="2" t="e">
        <f>(100*AF16)/AL13</f>
        <v>#DIV/0!</v>
      </c>
      <c r="AI12" s="2" t="s">
        <v>65</v>
      </c>
      <c r="AJ12" s="2" t="e">
        <f>(100*AI16)/AL11</f>
        <v>#DIV/0!</v>
      </c>
      <c r="AK12" s="15" t="s">
        <v>2</v>
      </c>
      <c r="AL12" s="15"/>
      <c r="AN12" s="15" t="s">
        <v>9</v>
      </c>
      <c r="AO12" s="15"/>
      <c r="AP12" s="60" t="s">
        <v>2</v>
      </c>
      <c r="AQ12" s="60" t="e">
        <f>T12</f>
        <v>#DIV/0!</v>
      </c>
      <c r="AR12" s="60" t="e">
        <f t="shared" si="14"/>
        <v>#DIV/0!</v>
      </c>
    </row>
    <row r="13" spans="1:44" x14ac:dyDescent="0.3">
      <c r="A13" s="5" t="s">
        <v>77</v>
      </c>
      <c r="B13" s="5"/>
      <c r="C13" s="5">
        <f t="shared" si="11"/>
        <v>0</v>
      </c>
      <c r="D13" s="35"/>
      <c r="E13" s="37"/>
      <c r="F13" s="36"/>
      <c r="G13" s="5" t="s">
        <v>2</v>
      </c>
      <c r="H13" s="5"/>
      <c r="I13" s="5"/>
      <c r="J13" s="5" t="e">
        <f t="shared" si="2"/>
        <v>#DIV/0!</v>
      </c>
      <c r="K13" s="42"/>
      <c r="L13" s="5" t="s">
        <v>2</v>
      </c>
      <c r="M13" s="5"/>
      <c r="N13" s="42"/>
      <c r="O13" s="5" t="s">
        <v>2</v>
      </c>
      <c r="P13" s="5" t="e">
        <f t="shared" si="12"/>
        <v>#DIV/0!</v>
      </c>
      <c r="Q13" s="31"/>
      <c r="R13" s="5" t="s">
        <v>2</v>
      </c>
      <c r="S13" s="5">
        <v>2.29</v>
      </c>
      <c r="T13" s="5" t="e">
        <f t="shared" si="4"/>
        <v>#DIV/0!</v>
      </c>
      <c r="V13" s="10" t="s">
        <v>3</v>
      </c>
      <c r="W13" s="10" t="e">
        <f>T18</f>
        <v>#DIV/0!</v>
      </c>
      <c r="X13" s="10" t="e">
        <f t="shared" si="15"/>
        <v>#DIV/0!</v>
      </c>
      <c r="Y13" s="10" t="e">
        <f t="shared" si="16"/>
        <v>#DIV/0!</v>
      </c>
      <c r="Z13" s="10" t="e">
        <f t="shared" si="17"/>
        <v>#DIV/0!</v>
      </c>
      <c r="AA13" s="10" t="e">
        <f t="shared" si="13"/>
        <v>#DIV/0!</v>
      </c>
      <c r="AB13" s="11" t="e">
        <f t="shared" si="13"/>
        <v>#DIV/0!</v>
      </c>
      <c r="AC13" s="10" t="s">
        <v>3</v>
      </c>
      <c r="AD13" s="10"/>
      <c r="AE13" s="13" t="s">
        <v>3</v>
      </c>
      <c r="AF13" s="13" t="e">
        <f t="shared" si="9"/>
        <v>#DIV/0!</v>
      </c>
      <c r="AG13" s="2" t="s">
        <v>63</v>
      </c>
      <c r="AH13" s="2" t="e">
        <f>(100*AG16)/AL12</f>
        <v>#DIV/0!</v>
      </c>
      <c r="AI13" s="2" t="s">
        <v>66</v>
      </c>
      <c r="AJ13" s="2" t="e">
        <f>(100*AJ16)/AL13</f>
        <v>#DIV/0!</v>
      </c>
      <c r="AK13" s="15" t="s">
        <v>3</v>
      </c>
      <c r="AL13" s="15"/>
      <c r="AN13" s="15" t="s">
        <v>135</v>
      </c>
      <c r="AO13" s="15"/>
      <c r="AP13" s="60" t="s">
        <v>2</v>
      </c>
      <c r="AQ13" s="60" t="e">
        <f>T13</f>
        <v>#DIV/0!</v>
      </c>
      <c r="AR13" s="60" t="e">
        <f t="shared" si="14"/>
        <v>#DIV/0!</v>
      </c>
    </row>
    <row r="14" spans="1:44" x14ac:dyDescent="0.3">
      <c r="A14" s="5" t="s">
        <v>78</v>
      </c>
      <c r="B14" s="5"/>
      <c r="C14" s="5">
        <f t="shared" si="11"/>
        <v>0</v>
      </c>
      <c r="D14" s="35"/>
      <c r="E14" s="37"/>
      <c r="F14" s="36"/>
      <c r="G14" s="5" t="s">
        <v>2</v>
      </c>
      <c r="H14" s="5"/>
      <c r="I14" s="5"/>
      <c r="J14" s="5" t="e">
        <f t="shared" si="2"/>
        <v>#DIV/0!</v>
      </c>
      <c r="K14" s="42"/>
      <c r="L14" s="5" t="s">
        <v>2</v>
      </c>
      <c r="M14" s="5"/>
      <c r="N14" s="42"/>
      <c r="O14" s="5" t="s">
        <v>2</v>
      </c>
      <c r="P14" s="5" t="e">
        <f t="shared" si="12"/>
        <v>#DIV/0!</v>
      </c>
      <c r="Q14" s="31"/>
      <c r="R14" s="5" t="s">
        <v>2</v>
      </c>
      <c r="S14" s="5">
        <v>2.29</v>
      </c>
      <c r="T14" s="5" t="e">
        <f t="shared" si="4"/>
        <v>#DIV/0!</v>
      </c>
      <c r="V14" s="25"/>
      <c r="W14" s="25"/>
      <c r="X14" s="25"/>
      <c r="Y14" s="25"/>
      <c r="Z14" s="25"/>
      <c r="AA14" s="25"/>
      <c r="AB14" s="25"/>
      <c r="AC14" s="25"/>
      <c r="AD14" s="25"/>
      <c r="AE14" s="14" t="s">
        <v>52</v>
      </c>
      <c r="AF14" s="14" t="s">
        <v>53</v>
      </c>
      <c r="AG14" s="14" t="s">
        <v>54</v>
      </c>
      <c r="AH14" s="14" t="s">
        <v>55</v>
      </c>
      <c r="AI14" s="14" t="s">
        <v>56</v>
      </c>
      <c r="AJ14" s="14" t="s">
        <v>57</v>
      </c>
      <c r="AK14" s="48"/>
      <c r="AL14" s="49"/>
      <c r="AN14" s="15" t="s">
        <v>11</v>
      </c>
      <c r="AO14" s="15"/>
      <c r="AP14" s="60" t="s">
        <v>2</v>
      </c>
      <c r="AQ14" s="60" t="e">
        <f>T14</f>
        <v>#DIV/0!</v>
      </c>
      <c r="AR14" s="60" t="e">
        <f t="shared" si="14"/>
        <v>#DIV/0!</v>
      </c>
    </row>
    <row r="15" spans="1:44" x14ac:dyDescent="0.3">
      <c r="A15" s="5" t="s">
        <v>79</v>
      </c>
      <c r="B15" s="5"/>
      <c r="C15" s="5">
        <f t="shared" si="11"/>
        <v>0</v>
      </c>
      <c r="D15" s="35"/>
      <c r="E15" s="37"/>
      <c r="F15" s="36"/>
      <c r="G15" s="5" t="s">
        <v>2</v>
      </c>
      <c r="H15" s="5"/>
      <c r="I15" s="5"/>
      <c r="J15" s="5" t="e">
        <f t="shared" si="2"/>
        <v>#DIV/0!</v>
      </c>
      <c r="K15" s="42"/>
      <c r="L15" s="5" t="s">
        <v>2</v>
      </c>
      <c r="M15" s="5"/>
      <c r="N15" s="42"/>
      <c r="O15" s="5" t="s">
        <v>2</v>
      </c>
      <c r="P15" s="5" t="e">
        <f t="shared" si="12"/>
        <v>#DIV/0!</v>
      </c>
      <c r="Q15" s="31"/>
      <c r="R15" s="5" t="s">
        <v>2</v>
      </c>
      <c r="S15" s="5">
        <v>2.29</v>
      </c>
      <c r="T15" s="5" t="e">
        <f t="shared" si="4"/>
        <v>#DIV/0!</v>
      </c>
      <c r="V15" s="25"/>
      <c r="W15" s="25"/>
      <c r="X15" s="25"/>
      <c r="Y15" s="25"/>
      <c r="Z15" s="25"/>
      <c r="AA15" s="25"/>
      <c r="AB15" s="25"/>
      <c r="AC15" s="25"/>
      <c r="AD15" s="25"/>
      <c r="AE15" s="14" t="e">
        <f>(AF11*AD12)/100</f>
        <v>#DIV/0!</v>
      </c>
      <c r="AF15" s="14" t="e">
        <f>(AF11*AD13)/100</f>
        <v>#DIV/0!</v>
      </c>
      <c r="AG15" s="14" t="e">
        <f>((AF12*AD11)/100)</f>
        <v>#DIV/0!</v>
      </c>
      <c r="AH15" s="14" t="e">
        <f>(AF12*AD13)/100</f>
        <v>#DIV/0!</v>
      </c>
      <c r="AI15" s="14" t="e">
        <f>(AF13*AD11)/100</f>
        <v>#DIV/0!</v>
      </c>
      <c r="AJ15" s="14" t="e">
        <f>(AF13*AD12)/100</f>
        <v>#DIV/0!</v>
      </c>
      <c r="AK15" s="50"/>
      <c r="AL15" s="51"/>
      <c r="AN15" s="1"/>
      <c r="AO15" s="1"/>
      <c r="AP15" s="60" t="s">
        <v>2</v>
      </c>
      <c r="AQ15" s="60" t="e">
        <f>T15</f>
        <v>#DIV/0!</v>
      </c>
      <c r="AR15" s="60" t="e">
        <f t="shared" si="14"/>
        <v>#DIV/0!</v>
      </c>
    </row>
    <row r="16" spans="1:44" s="1" customFormat="1" x14ac:dyDescent="0.3">
      <c r="A16" s="45"/>
      <c r="B16" s="45"/>
      <c r="C16" s="4" t="s">
        <v>18</v>
      </c>
      <c r="D16" s="35"/>
      <c r="E16" s="37"/>
      <c r="F16" s="36"/>
      <c r="G16" s="45"/>
      <c r="H16" s="45"/>
      <c r="I16" s="45"/>
      <c r="J16" s="45"/>
      <c r="K16" s="42"/>
      <c r="L16" s="6"/>
      <c r="M16" s="7"/>
      <c r="N16" s="42"/>
      <c r="O16" s="27"/>
      <c r="P16" s="29"/>
      <c r="Q16" s="31"/>
      <c r="R16" s="27"/>
      <c r="S16" s="28"/>
      <c r="T16" s="29"/>
      <c r="V16" s="25" t="s">
        <v>46</v>
      </c>
      <c r="W16" s="25"/>
      <c r="X16" s="25"/>
      <c r="Y16" s="25"/>
      <c r="Z16" s="25"/>
      <c r="AA16" s="25"/>
      <c r="AB16" s="25"/>
      <c r="AC16" s="25" t="s">
        <v>51</v>
      </c>
      <c r="AD16" s="25"/>
      <c r="AE16" s="14" t="e">
        <f>W12-AE15</f>
        <v>#DIV/0!</v>
      </c>
      <c r="AF16" s="14" t="e">
        <f>W13-AF15</f>
        <v>#DIV/0!</v>
      </c>
      <c r="AG16" s="14" t="e">
        <f>W11-AG15</f>
        <v>#DIV/0!</v>
      </c>
      <c r="AH16" s="14" t="e">
        <f>W13-AH15</f>
        <v>#DIV/0!</v>
      </c>
      <c r="AI16" s="14" t="e">
        <f>W11-AI15</f>
        <v>#DIV/0!</v>
      </c>
      <c r="AJ16" s="14" t="e">
        <f>W12-AJ15</f>
        <v>#DIV/0!</v>
      </c>
      <c r="AK16" s="52"/>
      <c r="AL16" s="53"/>
      <c r="AN16"/>
      <c r="AO16"/>
      <c r="AP16" s="27"/>
      <c r="AQ16" s="28"/>
      <c r="AR16" s="29"/>
    </row>
    <row r="17" spans="1:44" x14ac:dyDescent="0.3">
      <c r="A17" s="3" t="s">
        <v>80</v>
      </c>
      <c r="B17" s="3"/>
      <c r="C17" s="3">
        <f>(39/1)*$B$1*($D$1*100)*B17</f>
        <v>0</v>
      </c>
      <c r="D17" s="35"/>
      <c r="E17" s="37"/>
      <c r="F17" s="36"/>
      <c r="G17" s="3" t="s">
        <v>3</v>
      </c>
      <c r="H17" s="3"/>
      <c r="I17" s="3"/>
      <c r="J17" s="3" t="e">
        <f t="shared" si="2"/>
        <v>#DIV/0!</v>
      </c>
      <c r="K17" s="42"/>
      <c r="L17" s="3" t="s">
        <v>3</v>
      </c>
      <c r="M17" s="3"/>
      <c r="N17" s="42"/>
      <c r="O17" s="3" t="s">
        <v>3</v>
      </c>
      <c r="P17" s="3" t="e">
        <f t="shared" si="12"/>
        <v>#DIV/0!</v>
      </c>
      <c r="Q17" s="31"/>
      <c r="R17" s="3" t="s">
        <v>3</v>
      </c>
      <c r="S17" s="3">
        <v>1.21</v>
      </c>
      <c r="T17" s="3" t="e">
        <f t="shared" si="4"/>
        <v>#DIV/0!</v>
      </c>
      <c r="V17" s="25" t="s">
        <v>40</v>
      </c>
      <c r="W17" s="25"/>
      <c r="X17" s="10" t="s">
        <v>41</v>
      </c>
      <c r="Y17" s="10" t="s">
        <v>42</v>
      </c>
      <c r="Z17" s="10" t="s">
        <v>43</v>
      </c>
      <c r="AA17" s="10" t="s">
        <v>44</v>
      </c>
      <c r="AB17" s="10" t="s">
        <v>44</v>
      </c>
      <c r="AC17" s="10"/>
      <c r="AD17" s="10"/>
      <c r="AE17" s="22" t="s">
        <v>59</v>
      </c>
      <c r="AF17" s="23"/>
      <c r="AG17" s="22" t="s">
        <v>60</v>
      </c>
      <c r="AH17" s="24"/>
      <c r="AI17" s="24"/>
      <c r="AJ17" s="23"/>
      <c r="AK17" s="16" t="s">
        <v>67</v>
      </c>
      <c r="AL17" s="16"/>
      <c r="AP17" s="60" t="s">
        <v>3</v>
      </c>
      <c r="AQ17" s="60" t="e">
        <f>T17</f>
        <v>#DIV/0!</v>
      </c>
      <c r="AR17" s="60" t="e">
        <f>(100*AQ17)/$AO$6</f>
        <v>#DIV/0!</v>
      </c>
    </row>
    <row r="18" spans="1:44" x14ac:dyDescent="0.3">
      <c r="A18" s="3" t="s">
        <v>81</v>
      </c>
      <c r="B18" s="3"/>
      <c r="C18" s="3">
        <f t="shared" ref="C18:C22" si="18">(39/1)*$B$1*($D$1*100)*B18</f>
        <v>0</v>
      </c>
      <c r="D18" s="35"/>
      <c r="E18" s="37"/>
      <c r="F18" s="36"/>
      <c r="G18" s="3" t="s">
        <v>3</v>
      </c>
      <c r="H18" s="3"/>
      <c r="I18" s="3"/>
      <c r="J18" s="3" t="e">
        <f t="shared" si="2"/>
        <v>#DIV/0!</v>
      </c>
      <c r="K18" s="42"/>
      <c r="L18" s="3" t="s">
        <v>3</v>
      </c>
      <c r="M18" s="3"/>
      <c r="N18" s="42"/>
      <c r="O18" s="3" t="s">
        <v>3</v>
      </c>
      <c r="P18" s="3" t="e">
        <f t="shared" si="12"/>
        <v>#DIV/0!</v>
      </c>
      <c r="Q18" s="31"/>
      <c r="R18" s="3" t="s">
        <v>3</v>
      </c>
      <c r="S18" s="3">
        <v>1.21</v>
      </c>
      <c r="T18" s="3" t="e">
        <f t="shared" si="4"/>
        <v>#DIV/0!</v>
      </c>
      <c r="V18" s="10" t="s">
        <v>1</v>
      </c>
      <c r="W18" s="10" t="e">
        <f>T5</f>
        <v>#DIV/0!</v>
      </c>
      <c r="X18" s="10" t="e">
        <f>MROUND(W18,10)</f>
        <v>#DIV/0!</v>
      </c>
      <c r="Y18" s="10" t="e">
        <f>X18/MIN(X18:X20)</f>
        <v>#DIV/0!</v>
      </c>
      <c r="Z18" s="10" t="e">
        <f>Y18*10</f>
        <v>#DIV/0!</v>
      </c>
      <c r="AA18" s="10" t="e">
        <f t="shared" ref="AA18:AB20" si="19">Z18/2</f>
        <v>#DIV/0!</v>
      </c>
      <c r="AB18" s="11" t="e">
        <f t="shared" si="19"/>
        <v>#DIV/0!</v>
      </c>
      <c r="AC18" s="10" t="s">
        <v>1</v>
      </c>
      <c r="AD18" s="10"/>
      <c r="AE18" s="13" t="s">
        <v>1</v>
      </c>
      <c r="AF18" s="13" t="e">
        <f t="shared" si="9"/>
        <v>#DIV/0!</v>
      </c>
      <c r="AG18" s="2" t="s">
        <v>61</v>
      </c>
      <c r="AH18" s="2" t="e">
        <f>(100*AE23)/AL18</f>
        <v>#DIV/0!</v>
      </c>
      <c r="AI18" s="2" t="s">
        <v>64</v>
      </c>
      <c r="AJ18" s="2" t="e">
        <f>(100*AH23)/AL20</f>
        <v>#DIV/0!</v>
      </c>
      <c r="AK18" s="15" t="s">
        <v>1</v>
      </c>
      <c r="AL18" s="15"/>
      <c r="AP18" s="60" t="s">
        <v>3</v>
      </c>
      <c r="AQ18" s="60" t="e">
        <f>T18</f>
        <v>#DIV/0!</v>
      </c>
      <c r="AR18" s="60" t="e">
        <f t="shared" ref="AR18:AR22" si="20">(100*AQ18)/$AO$6</f>
        <v>#DIV/0!</v>
      </c>
    </row>
    <row r="19" spans="1:44" x14ac:dyDescent="0.3">
      <c r="A19" s="3" t="s">
        <v>82</v>
      </c>
      <c r="B19" s="3"/>
      <c r="C19" s="3">
        <f t="shared" si="18"/>
        <v>0</v>
      </c>
      <c r="D19" s="35"/>
      <c r="E19" s="37"/>
      <c r="F19" s="36"/>
      <c r="G19" s="3" t="s">
        <v>3</v>
      </c>
      <c r="H19" s="3"/>
      <c r="I19" s="3"/>
      <c r="J19" s="3" t="e">
        <f t="shared" si="2"/>
        <v>#DIV/0!</v>
      </c>
      <c r="K19" s="42"/>
      <c r="L19" s="3" t="s">
        <v>3</v>
      </c>
      <c r="M19" s="3"/>
      <c r="N19" s="42"/>
      <c r="O19" s="3" t="s">
        <v>3</v>
      </c>
      <c r="P19" s="3" t="e">
        <f t="shared" si="12"/>
        <v>#DIV/0!</v>
      </c>
      <c r="Q19" s="31"/>
      <c r="R19" s="3" t="s">
        <v>3</v>
      </c>
      <c r="S19" s="3">
        <v>1.21</v>
      </c>
      <c r="T19" s="3" t="e">
        <f t="shared" si="4"/>
        <v>#DIV/0!</v>
      </c>
      <c r="V19" s="10" t="s">
        <v>2</v>
      </c>
      <c r="W19" s="10" t="e">
        <f>T12</f>
        <v>#DIV/0!</v>
      </c>
      <c r="X19" s="10" t="e">
        <f t="shared" ref="X19" si="21">MROUND(W19,10)</f>
        <v>#DIV/0!</v>
      </c>
      <c r="Y19" s="10" t="e">
        <f t="shared" ref="Y19:Y20" si="22">X19/MIN(X19:X21)</f>
        <v>#DIV/0!</v>
      </c>
      <c r="Z19" s="10" t="e">
        <f t="shared" ref="Z19:Z20" si="23">Y19*10</f>
        <v>#DIV/0!</v>
      </c>
      <c r="AA19" s="10" t="e">
        <f t="shared" si="19"/>
        <v>#DIV/0!</v>
      </c>
      <c r="AB19" s="11" t="e">
        <f t="shared" si="19"/>
        <v>#DIV/0!</v>
      </c>
      <c r="AC19" s="10" t="s">
        <v>2</v>
      </c>
      <c r="AD19" s="10"/>
      <c r="AE19" s="13" t="s">
        <v>2</v>
      </c>
      <c r="AF19" s="13" t="e">
        <f t="shared" si="9"/>
        <v>#DIV/0!</v>
      </c>
      <c r="AG19" s="2" t="s">
        <v>62</v>
      </c>
      <c r="AH19" s="2" t="e">
        <f>(100*AF23)/AL20</f>
        <v>#DIV/0!</v>
      </c>
      <c r="AI19" s="2" t="s">
        <v>65</v>
      </c>
      <c r="AJ19" s="2" t="e">
        <f>(100*AI23)/AL18</f>
        <v>#DIV/0!</v>
      </c>
      <c r="AK19" s="15" t="s">
        <v>2</v>
      </c>
      <c r="AL19" s="15"/>
      <c r="AP19" s="60" t="s">
        <v>3</v>
      </c>
      <c r="AQ19" s="60" t="e">
        <f>T19</f>
        <v>#DIV/0!</v>
      </c>
      <c r="AR19" s="60" t="e">
        <f t="shared" si="20"/>
        <v>#DIV/0!</v>
      </c>
    </row>
    <row r="20" spans="1:44" x14ac:dyDescent="0.3">
      <c r="A20" s="3" t="s">
        <v>83</v>
      </c>
      <c r="B20" s="3"/>
      <c r="C20" s="3">
        <f t="shared" si="18"/>
        <v>0</v>
      </c>
      <c r="D20" s="35"/>
      <c r="E20" s="37"/>
      <c r="F20" s="36"/>
      <c r="G20" s="3" t="s">
        <v>3</v>
      </c>
      <c r="H20" s="3"/>
      <c r="I20" s="3"/>
      <c r="J20" s="3" t="e">
        <f t="shared" si="2"/>
        <v>#DIV/0!</v>
      </c>
      <c r="K20" s="42"/>
      <c r="L20" s="3" t="s">
        <v>3</v>
      </c>
      <c r="M20" s="3"/>
      <c r="N20" s="42"/>
      <c r="O20" s="3" t="s">
        <v>3</v>
      </c>
      <c r="P20" s="3" t="e">
        <f t="shared" si="12"/>
        <v>#DIV/0!</v>
      </c>
      <c r="Q20" s="31"/>
      <c r="R20" s="3" t="s">
        <v>3</v>
      </c>
      <c r="S20" s="3">
        <v>1.21</v>
      </c>
      <c r="T20" s="3" t="e">
        <f t="shared" si="4"/>
        <v>#DIV/0!</v>
      </c>
      <c r="V20" s="10" t="s">
        <v>3</v>
      </c>
      <c r="W20" s="10" t="e">
        <f>T19</f>
        <v>#DIV/0!</v>
      </c>
      <c r="X20" s="10" t="e">
        <f>MROUND(W20,10)</f>
        <v>#DIV/0!</v>
      </c>
      <c r="Y20" s="10" t="e">
        <f t="shared" si="22"/>
        <v>#DIV/0!</v>
      </c>
      <c r="Z20" s="10" t="e">
        <f t="shared" si="23"/>
        <v>#DIV/0!</v>
      </c>
      <c r="AA20" s="10" t="e">
        <f t="shared" si="19"/>
        <v>#DIV/0!</v>
      </c>
      <c r="AB20" s="11" t="e">
        <f t="shared" si="19"/>
        <v>#DIV/0!</v>
      </c>
      <c r="AC20" s="10" t="s">
        <v>3</v>
      </c>
      <c r="AD20" s="10"/>
      <c r="AE20" s="13" t="s">
        <v>3</v>
      </c>
      <c r="AF20" s="13" t="e">
        <f t="shared" si="9"/>
        <v>#DIV/0!</v>
      </c>
      <c r="AG20" s="2" t="s">
        <v>63</v>
      </c>
      <c r="AH20" s="2" t="e">
        <f>(100*AG23)/AL19</f>
        <v>#DIV/0!</v>
      </c>
      <c r="AI20" s="2" t="s">
        <v>66</v>
      </c>
      <c r="AJ20" s="2" t="e">
        <f>(100*AJ23)/AL20</f>
        <v>#DIV/0!</v>
      </c>
      <c r="AK20" s="15" t="s">
        <v>3</v>
      </c>
      <c r="AL20" s="15"/>
      <c r="AP20" s="60" t="s">
        <v>3</v>
      </c>
      <c r="AQ20" s="60" t="e">
        <f>T20</f>
        <v>#DIV/0!</v>
      </c>
      <c r="AR20" s="60" t="e">
        <f t="shared" si="20"/>
        <v>#DIV/0!</v>
      </c>
    </row>
    <row r="21" spans="1:44" x14ac:dyDescent="0.3">
      <c r="A21" s="3" t="s">
        <v>84</v>
      </c>
      <c r="B21" s="3"/>
      <c r="C21" s="3">
        <f t="shared" si="18"/>
        <v>0</v>
      </c>
      <c r="D21" s="35"/>
      <c r="E21" s="37"/>
      <c r="F21" s="36"/>
      <c r="G21" s="3" t="s">
        <v>3</v>
      </c>
      <c r="H21" s="3"/>
      <c r="I21" s="3"/>
      <c r="J21" s="3" t="e">
        <f t="shared" si="2"/>
        <v>#DIV/0!</v>
      </c>
      <c r="K21" s="42"/>
      <c r="L21" s="3" t="s">
        <v>3</v>
      </c>
      <c r="M21" s="3"/>
      <c r="N21" s="42"/>
      <c r="O21" s="3" t="s">
        <v>3</v>
      </c>
      <c r="P21" s="3" t="e">
        <f t="shared" si="12"/>
        <v>#DIV/0!</v>
      </c>
      <c r="Q21" s="31"/>
      <c r="R21" s="3" t="s">
        <v>3</v>
      </c>
      <c r="S21" s="3">
        <v>1.21</v>
      </c>
      <c r="T21" s="3" t="e">
        <f t="shared" si="4"/>
        <v>#DIV/0!</v>
      </c>
      <c r="V21" s="25"/>
      <c r="W21" s="25"/>
      <c r="X21" s="25"/>
      <c r="Y21" s="25"/>
      <c r="Z21" s="25"/>
      <c r="AA21" s="25"/>
      <c r="AB21" s="25"/>
      <c r="AC21" s="25"/>
      <c r="AD21" s="25"/>
      <c r="AE21" s="14" t="s">
        <v>52</v>
      </c>
      <c r="AF21" s="14" t="s">
        <v>53</v>
      </c>
      <c r="AG21" s="14" t="s">
        <v>54</v>
      </c>
      <c r="AH21" s="14" t="s">
        <v>55</v>
      </c>
      <c r="AI21" s="14" t="s">
        <v>56</v>
      </c>
      <c r="AJ21" s="14" t="s">
        <v>57</v>
      </c>
      <c r="AK21" s="48"/>
      <c r="AL21" s="49"/>
      <c r="AP21" s="60" t="s">
        <v>3</v>
      </c>
      <c r="AQ21" s="60" t="e">
        <f>T21</f>
        <v>#DIV/0!</v>
      </c>
      <c r="AR21" s="60" t="e">
        <f t="shared" si="20"/>
        <v>#DIV/0!</v>
      </c>
    </row>
    <row r="22" spans="1:44" x14ac:dyDescent="0.3">
      <c r="A22" s="3" t="s">
        <v>85</v>
      </c>
      <c r="B22" s="3"/>
      <c r="C22" s="3">
        <f t="shared" si="18"/>
        <v>0</v>
      </c>
      <c r="D22" s="35"/>
      <c r="E22" s="37"/>
      <c r="F22" s="36"/>
      <c r="G22" s="3" t="s">
        <v>3</v>
      </c>
      <c r="H22" s="3"/>
      <c r="I22" s="3"/>
      <c r="J22" s="3" t="e">
        <f t="shared" si="2"/>
        <v>#DIV/0!</v>
      </c>
      <c r="K22" s="42"/>
      <c r="L22" s="3" t="s">
        <v>3</v>
      </c>
      <c r="M22" s="3"/>
      <c r="N22" s="42"/>
      <c r="O22" s="3" t="s">
        <v>3</v>
      </c>
      <c r="P22" s="3" t="e">
        <f t="shared" si="12"/>
        <v>#DIV/0!</v>
      </c>
      <c r="Q22" s="31"/>
      <c r="R22" s="3" t="s">
        <v>3</v>
      </c>
      <c r="S22" s="3">
        <v>1.21</v>
      </c>
      <c r="T22" s="3" t="e">
        <f t="shared" si="4"/>
        <v>#DIV/0!</v>
      </c>
      <c r="V22" s="25"/>
      <c r="W22" s="25"/>
      <c r="X22" s="25"/>
      <c r="Y22" s="25"/>
      <c r="Z22" s="25"/>
      <c r="AA22" s="25"/>
      <c r="AB22" s="25"/>
      <c r="AC22" s="25"/>
      <c r="AD22" s="25"/>
      <c r="AE22" s="14" t="e">
        <f>(AF18*AD19)/100</f>
        <v>#DIV/0!</v>
      </c>
      <c r="AF22" s="14" t="e">
        <f>(AF18*AD20)/100</f>
        <v>#DIV/0!</v>
      </c>
      <c r="AG22" s="14" t="e">
        <f>((AF19*AD18)/100)</f>
        <v>#DIV/0!</v>
      </c>
      <c r="AH22" s="14" t="e">
        <f>(AF19*AD20)/100</f>
        <v>#DIV/0!</v>
      </c>
      <c r="AI22" s="14" t="e">
        <f>(AF20*AD18)/100</f>
        <v>#DIV/0!</v>
      </c>
      <c r="AJ22" s="14" t="e">
        <f>(AF20*AD19)/100</f>
        <v>#DIV/0!</v>
      </c>
      <c r="AK22" s="50"/>
      <c r="AL22" s="51"/>
      <c r="AN22" s="1"/>
      <c r="AO22" s="1"/>
      <c r="AP22" s="60" t="s">
        <v>3</v>
      </c>
      <c r="AQ22" s="60" t="e">
        <f>T22</f>
        <v>#DIV/0!</v>
      </c>
      <c r="AR22" s="60" t="e">
        <f t="shared" si="20"/>
        <v>#DIV/0!</v>
      </c>
    </row>
    <row r="23" spans="1:44" s="1" customFormat="1" x14ac:dyDescent="0.3">
      <c r="A23" s="45"/>
      <c r="B23" s="45"/>
      <c r="C23" s="2" t="s">
        <v>19</v>
      </c>
      <c r="D23" s="35"/>
      <c r="E23" s="37"/>
      <c r="F23" s="36"/>
      <c r="G23" s="45"/>
      <c r="H23" s="45"/>
      <c r="I23" s="45"/>
      <c r="J23" s="45"/>
      <c r="K23" s="42"/>
      <c r="L23" s="6"/>
      <c r="M23" s="7"/>
      <c r="N23" s="42"/>
      <c r="O23" s="6"/>
      <c r="P23" s="7"/>
      <c r="Q23" s="31"/>
      <c r="R23" s="27"/>
      <c r="S23" s="28"/>
      <c r="T23" s="29"/>
      <c r="V23" s="25" t="s">
        <v>47</v>
      </c>
      <c r="W23" s="25"/>
      <c r="X23" s="25"/>
      <c r="Y23" s="25"/>
      <c r="Z23" s="25"/>
      <c r="AA23" s="25"/>
      <c r="AB23" s="25"/>
      <c r="AC23" s="25" t="s">
        <v>51</v>
      </c>
      <c r="AD23" s="25"/>
      <c r="AE23" s="14" t="e">
        <f>W19-AE22</f>
        <v>#DIV/0!</v>
      </c>
      <c r="AF23" s="14" t="e">
        <f>W20-AF22</f>
        <v>#DIV/0!</v>
      </c>
      <c r="AG23" s="14" t="e">
        <f>W18-AG22</f>
        <v>#DIV/0!</v>
      </c>
      <c r="AH23" s="14" t="e">
        <f>W20-AH22</f>
        <v>#DIV/0!</v>
      </c>
      <c r="AI23" s="14" t="e">
        <f>W18-AI22</f>
        <v>#DIV/0!</v>
      </c>
      <c r="AJ23" s="14" t="e">
        <f>W19-AJ22</f>
        <v>#DIV/0!</v>
      </c>
      <c r="AK23" s="52"/>
      <c r="AL23" s="53"/>
      <c r="AN23"/>
      <c r="AO23"/>
      <c r="AP23" s="27"/>
      <c r="AQ23" s="28"/>
      <c r="AR23" s="29"/>
    </row>
    <row r="24" spans="1:44" x14ac:dyDescent="0.3">
      <c r="A24" s="5" t="s">
        <v>86</v>
      </c>
      <c r="B24" s="5"/>
      <c r="C24" s="5">
        <f>(40/2)*$B$1*($D$1*100)*B24</f>
        <v>0</v>
      </c>
      <c r="D24" s="35"/>
      <c r="E24" s="37"/>
      <c r="F24" s="36"/>
      <c r="G24" s="5" t="s">
        <v>4</v>
      </c>
      <c r="H24" s="5"/>
      <c r="I24" s="5"/>
      <c r="J24" s="5" t="e">
        <f t="shared" si="2"/>
        <v>#DIV/0!</v>
      </c>
      <c r="K24" s="42"/>
      <c r="L24" s="5" t="s">
        <v>4</v>
      </c>
      <c r="M24" s="5"/>
      <c r="N24" s="42"/>
      <c r="O24" s="5" t="s">
        <v>4</v>
      </c>
      <c r="P24" s="5" t="e">
        <f t="shared" si="12"/>
        <v>#DIV/0!</v>
      </c>
      <c r="Q24" s="31"/>
      <c r="R24" s="5" t="s">
        <v>4</v>
      </c>
      <c r="S24" s="5">
        <v>1.399</v>
      </c>
      <c r="T24" s="5" t="e">
        <f t="shared" si="4"/>
        <v>#DIV/0!</v>
      </c>
      <c r="V24" s="25" t="s">
        <v>40</v>
      </c>
      <c r="W24" s="25"/>
      <c r="X24" s="10" t="s">
        <v>41</v>
      </c>
      <c r="Y24" s="10" t="s">
        <v>42</v>
      </c>
      <c r="Z24" s="10" t="s">
        <v>43</v>
      </c>
      <c r="AA24" s="10" t="s">
        <v>44</v>
      </c>
      <c r="AB24" s="10" t="s">
        <v>44</v>
      </c>
      <c r="AC24" s="10"/>
      <c r="AD24" s="10"/>
      <c r="AE24" s="22" t="s">
        <v>59</v>
      </c>
      <c r="AF24" s="23"/>
      <c r="AG24" s="22" t="s">
        <v>60</v>
      </c>
      <c r="AH24" s="24"/>
      <c r="AI24" s="24"/>
      <c r="AJ24" s="23"/>
      <c r="AK24" s="16" t="s">
        <v>67</v>
      </c>
      <c r="AL24" s="16"/>
      <c r="AP24" s="60" t="s">
        <v>4</v>
      </c>
      <c r="AQ24" s="60" t="e">
        <f>T24</f>
        <v>#DIV/0!</v>
      </c>
      <c r="AR24" s="60" t="e">
        <f>(100*AQ24)/$AO$7</f>
        <v>#DIV/0!</v>
      </c>
    </row>
    <row r="25" spans="1:44" x14ac:dyDescent="0.3">
      <c r="A25" s="5" t="s">
        <v>88</v>
      </c>
      <c r="B25" s="5"/>
      <c r="C25" s="5">
        <f t="shared" ref="C25:C28" si="24">(40/2)*$B$1*($D$1*100)*B25</f>
        <v>0</v>
      </c>
      <c r="D25" s="35"/>
      <c r="E25" s="37"/>
      <c r="F25" s="36"/>
      <c r="G25" s="5" t="s">
        <v>4</v>
      </c>
      <c r="H25" s="5"/>
      <c r="I25" s="5"/>
      <c r="J25" s="5" t="e">
        <f t="shared" si="2"/>
        <v>#DIV/0!</v>
      </c>
      <c r="K25" s="42"/>
      <c r="L25" s="5" t="s">
        <v>4</v>
      </c>
      <c r="M25" s="5"/>
      <c r="N25" s="42"/>
      <c r="O25" s="5" t="s">
        <v>4</v>
      </c>
      <c r="P25" s="5" t="e">
        <f t="shared" si="12"/>
        <v>#DIV/0!</v>
      </c>
      <c r="Q25" s="31"/>
      <c r="R25" s="5" t="s">
        <v>4</v>
      </c>
      <c r="S25" s="5">
        <v>1.399</v>
      </c>
      <c r="T25" s="5" t="e">
        <f t="shared" si="4"/>
        <v>#DIV/0!</v>
      </c>
      <c r="V25" s="10" t="s">
        <v>1</v>
      </c>
      <c r="W25" s="10" t="e">
        <f>T6</f>
        <v>#DIV/0!</v>
      </c>
      <c r="X25" s="10" t="e">
        <f>MROUND(W25,10)</f>
        <v>#DIV/0!</v>
      </c>
      <c r="Y25" s="10" t="e">
        <f>X25/MIN(X25:X27)</f>
        <v>#DIV/0!</v>
      </c>
      <c r="Z25" s="10" t="e">
        <f>Y25*10</f>
        <v>#DIV/0!</v>
      </c>
      <c r="AA25" s="10" t="e">
        <f t="shared" ref="AA25:AB27" si="25">Z25/2</f>
        <v>#DIV/0!</v>
      </c>
      <c r="AB25" s="11" t="e">
        <f t="shared" si="25"/>
        <v>#DIV/0!</v>
      </c>
      <c r="AC25" s="10" t="s">
        <v>1</v>
      </c>
      <c r="AD25" s="10"/>
      <c r="AE25" s="13" t="s">
        <v>1</v>
      </c>
      <c r="AF25" s="13" t="e">
        <f t="shared" si="9"/>
        <v>#DIV/0!</v>
      </c>
      <c r="AG25" s="2" t="s">
        <v>61</v>
      </c>
      <c r="AH25" s="2" t="e">
        <f>(100*AE30)/AL25</f>
        <v>#DIV/0!</v>
      </c>
      <c r="AI25" s="2" t="s">
        <v>64</v>
      </c>
      <c r="AJ25" s="2" t="e">
        <f>(100*AH30)/AL27</f>
        <v>#DIV/0!</v>
      </c>
      <c r="AK25" s="15" t="s">
        <v>1</v>
      </c>
      <c r="AL25" s="15"/>
      <c r="AP25" s="60" t="s">
        <v>4</v>
      </c>
      <c r="AQ25" s="60" t="e">
        <f>T25</f>
        <v>#DIV/0!</v>
      </c>
      <c r="AR25" s="60" t="e">
        <f t="shared" ref="AR25:AR29" si="26">(100*AQ25)/$AO$7</f>
        <v>#DIV/0!</v>
      </c>
    </row>
    <row r="26" spans="1:44" x14ac:dyDescent="0.3">
      <c r="A26" s="5" t="s">
        <v>87</v>
      </c>
      <c r="B26" s="5"/>
      <c r="C26" s="5">
        <f t="shared" si="24"/>
        <v>0</v>
      </c>
      <c r="D26" s="35"/>
      <c r="E26" s="37"/>
      <c r="F26" s="36"/>
      <c r="G26" s="5" t="s">
        <v>4</v>
      </c>
      <c r="H26" s="5"/>
      <c r="I26" s="5"/>
      <c r="J26" s="5" t="e">
        <f t="shared" si="2"/>
        <v>#DIV/0!</v>
      </c>
      <c r="K26" s="42"/>
      <c r="L26" s="5" t="s">
        <v>4</v>
      </c>
      <c r="M26" s="5"/>
      <c r="N26" s="42"/>
      <c r="O26" s="5" t="s">
        <v>4</v>
      </c>
      <c r="P26" s="5" t="e">
        <f t="shared" si="12"/>
        <v>#DIV/0!</v>
      </c>
      <c r="Q26" s="31"/>
      <c r="R26" s="5" t="s">
        <v>4</v>
      </c>
      <c r="S26" s="5">
        <v>1.399</v>
      </c>
      <c r="T26" s="5" t="e">
        <f t="shared" si="4"/>
        <v>#DIV/0!</v>
      </c>
      <c r="V26" s="10" t="s">
        <v>2</v>
      </c>
      <c r="W26" s="10" t="e">
        <f>T13</f>
        <v>#DIV/0!</v>
      </c>
      <c r="X26" s="10" t="e">
        <f t="shared" ref="X26:X27" si="27">MROUND(W26,10)</f>
        <v>#DIV/0!</v>
      </c>
      <c r="Y26" s="10" t="e">
        <f t="shared" ref="Y26:Y27" si="28">X26/MIN(X26:X28)</f>
        <v>#DIV/0!</v>
      </c>
      <c r="Z26" s="10" t="e">
        <f t="shared" ref="Z26:Z27" si="29">Y26*10</f>
        <v>#DIV/0!</v>
      </c>
      <c r="AA26" s="10" t="e">
        <f t="shared" si="25"/>
        <v>#DIV/0!</v>
      </c>
      <c r="AB26" s="11" t="e">
        <f t="shared" si="25"/>
        <v>#DIV/0!</v>
      </c>
      <c r="AC26" s="10" t="s">
        <v>2</v>
      </c>
      <c r="AD26" s="10"/>
      <c r="AE26" s="13" t="s">
        <v>2</v>
      </c>
      <c r="AF26" s="13" t="e">
        <f t="shared" si="9"/>
        <v>#DIV/0!</v>
      </c>
      <c r="AG26" s="2" t="s">
        <v>62</v>
      </c>
      <c r="AH26" s="2" t="e">
        <f>(100*AF30)/AL27</f>
        <v>#DIV/0!</v>
      </c>
      <c r="AI26" s="2" t="s">
        <v>65</v>
      </c>
      <c r="AJ26" s="2" t="e">
        <f>(100*AI30)/AL25</f>
        <v>#DIV/0!</v>
      </c>
      <c r="AK26" s="15" t="s">
        <v>2</v>
      </c>
      <c r="AL26" s="15"/>
      <c r="AP26" s="60" t="s">
        <v>4</v>
      </c>
      <c r="AQ26" s="60" t="e">
        <f>T26</f>
        <v>#DIV/0!</v>
      </c>
      <c r="AR26" s="60" t="e">
        <f t="shared" si="26"/>
        <v>#DIV/0!</v>
      </c>
    </row>
    <row r="27" spans="1:44" x14ac:dyDescent="0.3">
      <c r="A27" s="5" t="s">
        <v>89</v>
      </c>
      <c r="B27" s="5"/>
      <c r="C27" s="5">
        <f t="shared" si="24"/>
        <v>0</v>
      </c>
      <c r="D27" s="35"/>
      <c r="E27" s="37"/>
      <c r="F27" s="36"/>
      <c r="G27" s="5" t="s">
        <v>4</v>
      </c>
      <c r="H27" s="5"/>
      <c r="I27" s="5"/>
      <c r="J27" s="5" t="e">
        <f t="shared" si="2"/>
        <v>#DIV/0!</v>
      </c>
      <c r="K27" s="42"/>
      <c r="L27" s="5" t="s">
        <v>4</v>
      </c>
      <c r="M27" s="5"/>
      <c r="N27" s="42"/>
      <c r="O27" s="5" t="s">
        <v>4</v>
      </c>
      <c r="P27" s="5" t="e">
        <f t="shared" si="12"/>
        <v>#DIV/0!</v>
      </c>
      <c r="Q27" s="31"/>
      <c r="R27" s="5" t="s">
        <v>4</v>
      </c>
      <c r="S27" s="5">
        <v>1.399</v>
      </c>
      <c r="T27" s="5" t="e">
        <f t="shared" si="4"/>
        <v>#DIV/0!</v>
      </c>
      <c r="V27" s="10" t="s">
        <v>3</v>
      </c>
      <c r="W27" s="10" t="e">
        <f>T20</f>
        <v>#DIV/0!</v>
      </c>
      <c r="X27" s="10" t="e">
        <f t="shared" si="27"/>
        <v>#DIV/0!</v>
      </c>
      <c r="Y27" s="10" t="e">
        <f t="shared" si="28"/>
        <v>#DIV/0!</v>
      </c>
      <c r="Z27" s="10" t="e">
        <f t="shared" si="29"/>
        <v>#DIV/0!</v>
      </c>
      <c r="AA27" s="10" t="e">
        <f t="shared" si="25"/>
        <v>#DIV/0!</v>
      </c>
      <c r="AB27" s="11" t="e">
        <f t="shared" si="25"/>
        <v>#DIV/0!</v>
      </c>
      <c r="AC27" s="10" t="s">
        <v>3</v>
      </c>
      <c r="AD27" s="10"/>
      <c r="AE27" s="13" t="s">
        <v>3</v>
      </c>
      <c r="AF27" s="13" t="e">
        <f t="shared" si="9"/>
        <v>#DIV/0!</v>
      </c>
      <c r="AG27" s="2" t="s">
        <v>63</v>
      </c>
      <c r="AH27" s="2" t="e">
        <f>(100*AG30)/AL26</f>
        <v>#DIV/0!</v>
      </c>
      <c r="AI27" s="2" t="s">
        <v>66</v>
      </c>
      <c r="AJ27" s="2" t="e">
        <f>(100*AJ30)/AL27</f>
        <v>#DIV/0!</v>
      </c>
      <c r="AK27" s="15" t="s">
        <v>3</v>
      </c>
      <c r="AL27" s="15"/>
      <c r="AP27" s="60" t="s">
        <v>4</v>
      </c>
      <c r="AQ27" s="60" t="e">
        <f>T27</f>
        <v>#DIV/0!</v>
      </c>
      <c r="AR27" s="60" t="e">
        <f t="shared" si="26"/>
        <v>#DIV/0!</v>
      </c>
    </row>
    <row r="28" spans="1:44" x14ac:dyDescent="0.3">
      <c r="A28" s="5" t="s">
        <v>90</v>
      </c>
      <c r="B28" s="5"/>
      <c r="C28" s="5">
        <f t="shared" si="24"/>
        <v>0</v>
      </c>
      <c r="D28" s="35"/>
      <c r="E28" s="37"/>
      <c r="F28" s="36"/>
      <c r="G28" s="5" t="s">
        <v>4</v>
      </c>
      <c r="H28" s="5"/>
      <c r="I28" s="5"/>
      <c r="J28" s="5" t="e">
        <f t="shared" si="2"/>
        <v>#DIV/0!</v>
      </c>
      <c r="K28" s="42"/>
      <c r="L28" s="5" t="s">
        <v>4</v>
      </c>
      <c r="M28" s="5"/>
      <c r="N28" s="42"/>
      <c r="O28" s="5" t="s">
        <v>4</v>
      </c>
      <c r="P28" s="5" t="e">
        <f t="shared" si="12"/>
        <v>#DIV/0!</v>
      </c>
      <c r="Q28" s="31"/>
      <c r="R28" s="5" t="s">
        <v>4</v>
      </c>
      <c r="S28" s="5">
        <v>1.399</v>
      </c>
      <c r="T28" s="5" t="e">
        <f t="shared" si="4"/>
        <v>#DIV/0!</v>
      </c>
      <c r="V28" s="25"/>
      <c r="W28" s="25"/>
      <c r="X28" s="25"/>
      <c r="Y28" s="25"/>
      <c r="Z28" s="25"/>
      <c r="AA28" s="25"/>
      <c r="AB28" s="25"/>
      <c r="AC28" s="25"/>
      <c r="AD28" s="25"/>
      <c r="AE28" s="14" t="s">
        <v>52</v>
      </c>
      <c r="AF28" s="14" t="s">
        <v>53</v>
      </c>
      <c r="AG28" s="14" t="s">
        <v>54</v>
      </c>
      <c r="AH28" s="14" t="s">
        <v>55</v>
      </c>
      <c r="AI28" s="14" t="s">
        <v>56</v>
      </c>
      <c r="AJ28" s="14" t="s">
        <v>57</v>
      </c>
      <c r="AK28" s="48"/>
      <c r="AL28" s="49"/>
      <c r="AP28" s="60" t="s">
        <v>4</v>
      </c>
      <c r="AQ28" s="60" t="e">
        <f>T28</f>
        <v>#DIV/0!</v>
      </c>
      <c r="AR28" s="60" t="e">
        <f t="shared" si="26"/>
        <v>#DIV/0!</v>
      </c>
    </row>
    <row r="29" spans="1:44" x14ac:dyDescent="0.3">
      <c r="A29" s="5" t="s">
        <v>91</v>
      </c>
      <c r="B29" s="5"/>
      <c r="C29" s="5">
        <f>(40/2)*$B$1*($D$1*100)*B29</f>
        <v>0</v>
      </c>
      <c r="D29" s="35"/>
      <c r="E29" s="37"/>
      <c r="F29" s="36"/>
      <c r="G29" s="5" t="s">
        <v>4</v>
      </c>
      <c r="H29" s="5"/>
      <c r="I29" s="5"/>
      <c r="J29" s="5" t="e">
        <f t="shared" si="2"/>
        <v>#DIV/0!</v>
      </c>
      <c r="K29" s="42"/>
      <c r="L29" s="5" t="s">
        <v>4</v>
      </c>
      <c r="M29" s="5"/>
      <c r="N29" s="42"/>
      <c r="O29" s="5" t="s">
        <v>4</v>
      </c>
      <c r="P29" s="5" t="e">
        <f t="shared" si="12"/>
        <v>#DIV/0!</v>
      </c>
      <c r="Q29" s="31"/>
      <c r="R29" s="5" t="s">
        <v>4</v>
      </c>
      <c r="S29" s="5">
        <v>1.399</v>
      </c>
      <c r="T29" s="5" t="e">
        <f t="shared" si="4"/>
        <v>#DIV/0!</v>
      </c>
      <c r="V29" s="25"/>
      <c r="W29" s="25"/>
      <c r="X29" s="25"/>
      <c r="Y29" s="25"/>
      <c r="Z29" s="25"/>
      <c r="AA29" s="25"/>
      <c r="AB29" s="25"/>
      <c r="AC29" s="25"/>
      <c r="AD29" s="25"/>
      <c r="AE29" s="14" t="e">
        <f>(AF25*AD26)/100</f>
        <v>#DIV/0!</v>
      </c>
      <c r="AF29" s="14" t="e">
        <f>(AF25*AD27)/100</f>
        <v>#DIV/0!</v>
      </c>
      <c r="AG29" s="14" t="e">
        <f>((AF26*AD25)/100)</f>
        <v>#DIV/0!</v>
      </c>
      <c r="AH29" s="14" t="e">
        <f>(AF26*AD27)/100</f>
        <v>#DIV/0!</v>
      </c>
      <c r="AI29" s="14" t="e">
        <f>(AF27*AD25)/100</f>
        <v>#DIV/0!</v>
      </c>
      <c r="AJ29" s="14" t="e">
        <f>(AF27*AD26)/100</f>
        <v>#DIV/0!</v>
      </c>
      <c r="AK29" s="50"/>
      <c r="AL29" s="51"/>
      <c r="AN29" s="1"/>
      <c r="AO29" s="1"/>
      <c r="AP29" s="60" t="s">
        <v>4</v>
      </c>
      <c r="AQ29" s="60" t="e">
        <f>T29</f>
        <v>#DIV/0!</v>
      </c>
      <c r="AR29" s="60" t="e">
        <f t="shared" si="26"/>
        <v>#DIV/0!</v>
      </c>
    </row>
    <row r="30" spans="1:44" s="1" customFormat="1" x14ac:dyDescent="0.3">
      <c r="A30" s="45"/>
      <c r="B30" s="45"/>
      <c r="C30" s="2" t="s">
        <v>20</v>
      </c>
      <c r="D30" s="35"/>
      <c r="E30" s="37"/>
      <c r="F30" s="36"/>
      <c r="G30" s="45"/>
      <c r="H30" s="45"/>
      <c r="I30" s="45"/>
      <c r="J30" s="45"/>
      <c r="K30" s="42"/>
      <c r="L30" s="6"/>
      <c r="M30" s="7"/>
      <c r="N30" s="42"/>
      <c r="O30" s="27"/>
      <c r="P30" s="29"/>
      <c r="Q30" s="31"/>
      <c r="R30" s="27"/>
      <c r="S30" s="28"/>
      <c r="T30" s="29"/>
      <c r="V30" s="25" t="s">
        <v>48</v>
      </c>
      <c r="W30" s="25"/>
      <c r="X30" s="25"/>
      <c r="Y30" s="25"/>
      <c r="Z30" s="25"/>
      <c r="AA30" s="25"/>
      <c r="AB30" s="25"/>
      <c r="AC30" s="25" t="s">
        <v>51</v>
      </c>
      <c r="AD30" s="25"/>
      <c r="AE30" s="14" t="e">
        <f>W26-AE29</f>
        <v>#DIV/0!</v>
      </c>
      <c r="AF30" s="14" t="e">
        <f>W27-AF29</f>
        <v>#DIV/0!</v>
      </c>
      <c r="AG30" s="14" t="e">
        <f>W25-AG29</f>
        <v>#DIV/0!</v>
      </c>
      <c r="AH30" s="14" t="e">
        <f>W27-AH29</f>
        <v>#DIV/0!</v>
      </c>
      <c r="AI30" s="14" t="e">
        <f>W25-AI29</f>
        <v>#DIV/0!</v>
      </c>
      <c r="AJ30" s="14" t="e">
        <f>W26-AJ29</f>
        <v>#DIV/0!</v>
      </c>
      <c r="AK30" s="52"/>
      <c r="AL30" s="53"/>
      <c r="AN30"/>
      <c r="AO30"/>
      <c r="AP30" s="27"/>
      <c r="AQ30" s="28"/>
      <c r="AR30" s="29"/>
    </row>
    <row r="31" spans="1:44" x14ac:dyDescent="0.3">
      <c r="A31" s="3" t="s">
        <v>92</v>
      </c>
      <c r="B31" s="3"/>
      <c r="C31" s="3">
        <f>(24/2)*$B$1*($D$1*100)*B31</f>
        <v>0</v>
      </c>
      <c r="D31" s="35"/>
      <c r="E31" s="37"/>
      <c r="F31" s="36"/>
      <c r="G31" s="3" t="s">
        <v>5</v>
      </c>
      <c r="H31" s="3"/>
      <c r="I31" s="3"/>
      <c r="J31" s="3" t="e">
        <f t="shared" si="2"/>
        <v>#DIV/0!</v>
      </c>
      <c r="K31" s="42"/>
      <c r="L31" s="3" t="s">
        <v>5</v>
      </c>
      <c r="M31" s="3"/>
      <c r="N31" s="42"/>
      <c r="O31" s="3" t="s">
        <v>5</v>
      </c>
      <c r="P31" s="3" t="e">
        <f t="shared" si="12"/>
        <v>#DIV/0!</v>
      </c>
      <c r="Q31" s="31"/>
      <c r="R31" s="3" t="s">
        <v>5</v>
      </c>
      <c r="S31" s="3">
        <v>1.6579999999999999</v>
      </c>
      <c r="T31" s="3" t="e">
        <f t="shared" si="4"/>
        <v>#DIV/0!</v>
      </c>
      <c r="V31" s="25" t="s">
        <v>40</v>
      </c>
      <c r="W31" s="25"/>
      <c r="X31" s="10" t="s">
        <v>41</v>
      </c>
      <c r="Y31" s="10" t="s">
        <v>42</v>
      </c>
      <c r="Z31" s="10" t="s">
        <v>43</v>
      </c>
      <c r="AA31" s="10" t="s">
        <v>44</v>
      </c>
      <c r="AB31" s="10" t="s">
        <v>44</v>
      </c>
      <c r="AC31" s="10"/>
      <c r="AD31" s="10"/>
      <c r="AE31" s="22" t="s">
        <v>59</v>
      </c>
      <c r="AF31" s="23"/>
      <c r="AG31" s="22" t="s">
        <v>60</v>
      </c>
      <c r="AH31" s="24"/>
      <c r="AI31" s="24"/>
      <c r="AJ31" s="23"/>
      <c r="AK31" s="16" t="s">
        <v>67</v>
      </c>
      <c r="AL31" s="16"/>
      <c r="AP31" s="60" t="s">
        <v>5</v>
      </c>
      <c r="AQ31" s="60" t="e">
        <f>T31</f>
        <v>#DIV/0!</v>
      </c>
      <c r="AR31" s="60" t="e">
        <f>(100*AQ31)/$AO$8</f>
        <v>#DIV/0!</v>
      </c>
    </row>
    <row r="32" spans="1:44" x14ac:dyDescent="0.3">
      <c r="A32" s="3" t="s">
        <v>93</v>
      </c>
      <c r="B32" s="3"/>
      <c r="C32" s="3">
        <f t="shared" ref="C32:C36" si="30">(24/2)*$B$1*($D$1*100)*B32</f>
        <v>0</v>
      </c>
      <c r="D32" s="35"/>
      <c r="E32" s="37"/>
      <c r="F32" s="36"/>
      <c r="G32" s="3" t="s">
        <v>5</v>
      </c>
      <c r="H32" s="3"/>
      <c r="I32" s="3"/>
      <c r="J32" s="3" t="e">
        <f t="shared" si="2"/>
        <v>#DIV/0!</v>
      </c>
      <c r="K32" s="42"/>
      <c r="L32" s="3" t="s">
        <v>5</v>
      </c>
      <c r="M32" s="3"/>
      <c r="N32" s="42"/>
      <c r="O32" s="3" t="s">
        <v>5</v>
      </c>
      <c r="P32" s="3" t="e">
        <f t="shared" si="12"/>
        <v>#DIV/0!</v>
      </c>
      <c r="Q32" s="31"/>
      <c r="R32" s="3" t="s">
        <v>5</v>
      </c>
      <c r="S32" s="3">
        <v>1.6579999999999999</v>
      </c>
      <c r="T32" s="3" t="e">
        <f t="shared" si="4"/>
        <v>#DIV/0!</v>
      </c>
      <c r="V32" s="10" t="s">
        <v>1</v>
      </c>
      <c r="W32" s="10" t="e">
        <f>T7</f>
        <v>#DIV/0!</v>
      </c>
      <c r="X32" s="10" t="e">
        <f>MROUND(W32,10)</f>
        <v>#DIV/0!</v>
      </c>
      <c r="Y32" s="10" t="e">
        <f>X32/MIN(X32:X34)</f>
        <v>#DIV/0!</v>
      </c>
      <c r="Z32" s="10" t="e">
        <f>Y32*10</f>
        <v>#DIV/0!</v>
      </c>
      <c r="AA32" s="10" t="e">
        <f t="shared" ref="AA32:AB34" si="31">Z32/2</f>
        <v>#DIV/0!</v>
      </c>
      <c r="AB32" s="11" t="e">
        <f t="shared" si="31"/>
        <v>#DIV/0!</v>
      </c>
      <c r="AC32" s="10" t="s">
        <v>1</v>
      </c>
      <c r="AD32" s="10"/>
      <c r="AE32" s="13" t="s">
        <v>1</v>
      </c>
      <c r="AF32" s="13" t="e">
        <f t="shared" si="9"/>
        <v>#DIV/0!</v>
      </c>
      <c r="AG32" s="2" t="s">
        <v>61</v>
      </c>
      <c r="AH32" s="2" t="e">
        <f>(100*AE37)/AL32</f>
        <v>#DIV/0!</v>
      </c>
      <c r="AI32" s="2" t="s">
        <v>64</v>
      </c>
      <c r="AJ32" s="2" t="e">
        <f>(100*AH37)/AL34</f>
        <v>#DIV/0!</v>
      </c>
      <c r="AK32" s="15" t="s">
        <v>1</v>
      </c>
      <c r="AL32" s="15"/>
      <c r="AP32" s="60" t="s">
        <v>5</v>
      </c>
      <c r="AQ32" s="60" t="e">
        <f>T32</f>
        <v>#DIV/0!</v>
      </c>
      <c r="AR32" s="60" t="e">
        <f t="shared" ref="AR32:AR35" si="32">(100*AQ32)/$AO$8</f>
        <v>#DIV/0!</v>
      </c>
    </row>
    <row r="33" spans="1:44" x14ac:dyDescent="0.3">
      <c r="A33" s="3" t="s">
        <v>94</v>
      </c>
      <c r="B33" s="3"/>
      <c r="C33" s="3">
        <f t="shared" si="30"/>
        <v>0</v>
      </c>
      <c r="D33" s="35"/>
      <c r="E33" s="37"/>
      <c r="F33" s="36"/>
      <c r="G33" s="3" t="s">
        <v>5</v>
      </c>
      <c r="H33" s="3"/>
      <c r="I33" s="3"/>
      <c r="J33" s="3" t="e">
        <f t="shared" si="2"/>
        <v>#DIV/0!</v>
      </c>
      <c r="K33" s="42"/>
      <c r="L33" s="3" t="s">
        <v>5</v>
      </c>
      <c r="M33" s="3"/>
      <c r="N33" s="42"/>
      <c r="O33" s="3" t="s">
        <v>5</v>
      </c>
      <c r="P33" s="3" t="e">
        <f t="shared" si="12"/>
        <v>#DIV/0!</v>
      </c>
      <c r="Q33" s="31"/>
      <c r="R33" s="3" t="s">
        <v>5</v>
      </c>
      <c r="S33" s="3">
        <v>1.6579999999999999</v>
      </c>
      <c r="T33" s="3" t="e">
        <f t="shared" si="4"/>
        <v>#DIV/0!</v>
      </c>
      <c r="V33" s="10" t="s">
        <v>2</v>
      </c>
      <c r="W33" s="10" t="e">
        <f>T14</f>
        <v>#DIV/0!</v>
      </c>
      <c r="X33" s="10" t="e">
        <f t="shared" ref="X33:X34" si="33">MROUND(W33,10)</f>
        <v>#DIV/0!</v>
      </c>
      <c r="Y33" s="10" t="e">
        <f t="shared" ref="Y33:Y34" si="34">X33/MIN(X33:X35)</f>
        <v>#DIV/0!</v>
      </c>
      <c r="Z33" s="10" t="e">
        <f t="shared" ref="Z33:Z34" si="35">Y33*10</f>
        <v>#DIV/0!</v>
      </c>
      <c r="AA33" s="10" t="e">
        <f t="shared" si="31"/>
        <v>#DIV/0!</v>
      </c>
      <c r="AB33" s="11" t="e">
        <f t="shared" si="31"/>
        <v>#DIV/0!</v>
      </c>
      <c r="AC33" s="10" t="s">
        <v>2</v>
      </c>
      <c r="AD33" s="10"/>
      <c r="AE33" s="13" t="s">
        <v>2</v>
      </c>
      <c r="AF33" s="13" t="e">
        <f t="shared" si="9"/>
        <v>#DIV/0!</v>
      </c>
      <c r="AG33" s="2" t="s">
        <v>62</v>
      </c>
      <c r="AH33" s="2" t="e">
        <f>(100*AF37)/AL34</f>
        <v>#DIV/0!</v>
      </c>
      <c r="AI33" s="2" t="s">
        <v>65</v>
      </c>
      <c r="AJ33" s="2" t="e">
        <f>(100*AI37)/AL32</f>
        <v>#DIV/0!</v>
      </c>
      <c r="AK33" s="15" t="s">
        <v>2</v>
      </c>
      <c r="AL33" s="15"/>
      <c r="AP33" s="60" t="s">
        <v>5</v>
      </c>
      <c r="AQ33" s="60" t="e">
        <f>T33</f>
        <v>#DIV/0!</v>
      </c>
      <c r="AR33" s="60" t="e">
        <f t="shared" si="32"/>
        <v>#DIV/0!</v>
      </c>
    </row>
    <row r="34" spans="1:44" x14ac:dyDescent="0.3">
      <c r="A34" s="3" t="s">
        <v>95</v>
      </c>
      <c r="B34" s="3"/>
      <c r="C34" s="3">
        <f t="shared" si="30"/>
        <v>0</v>
      </c>
      <c r="D34" s="35"/>
      <c r="E34" s="37"/>
      <c r="F34" s="36"/>
      <c r="G34" s="3" t="s">
        <v>5</v>
      </c>
      <c r="H34" s="3"/>
      <c r="I34" s="3"/>
      <c r="J34" s="3" t="e">
        <f t="shared" si="2"/>
        <v>#DIV/0!</v>
      </c>
      <c r="K34" s="42"/>
      <c r="L34" s="3" t="s">
        <v>5</v>
      </c>
      <c r="M34" s="3"/>
      <c r="N34" s="42"/>
      <c r="O34" s="3" t="s">
        <v>5</v>
      </c>
      <c r="P34" s="3" t="e">
        <f t="shared" si="12"/>
        <v>#DIV/0!</v>
      </c>
      <c r="Q34" s="31"/>
      <c r="R34" s="3" t="s">
        <v>5</v>
      </c>
      <c r="S34" s="3">
        <v>1.6579999999999999</v>
      </c>
      <c r="T34" s="3" t="e">
        <f t="shared" si="4"/>
        <v>#DIV/0!</v>
      </c>
      <c r="V34" s="10" t="s">
        <v>3</v>
      </c>
      <c r="W34" s="10" t="e">
        <f>T21</f>
        <v>#DIV/0!</v>
      </c>
      <c r="X34" s="10" t="e">
        <f t="shared" si="33"/>
        <v>#DIV/0!</v>
      </c>
      <c r="Y34" s="10" t="e">
        <f t="shared" si="34"/>
        <v>#DIV/0!</v>
      </c>
      <c r="Z34" s="10" t="e">
        <f t="shared" si="35"/>
        <v>#DIV/0!</v>
      </c>
      <c r="AA34" s="10" t="e">
        <f t="shared" si="31"/>
        <v>#DIV/0!</v>
      </c>
      <c r="AB34" s="11" t="e">
        <f t="shared" si="31"/>
        <v>#DIV/0!</v>
      </c>
      <c r="AC34" s="10" t="s">
        <v>3</v>
      </c>
      <c r="AD34" s="10"/>
      <c r="AE34" s="13" t="s">
        <v>3</v>
      </c>
      <c r="AF34" s="13" t="e">
        <f t="shared" si="9"/>
        <v>#DIV/0!</v>
      </c>
      <c r="AG34" s="2" t="s">
        <v>63</v>
      </c>
      <c r="AH34" s="2" t="e">
        <f>(100*AG37)/AL33</f>
        <v>#DIV/0!</v>
      </c>
      <c r="AI34" s="2" t="s">
        <v>66</v>
      </c>
      <c r="AJ34" s="2" t="e">
        <f>(100*AJ37)/AL34</f>
        <v>#DIV/0!</v>
      </c>
      <c r="AK34" s="15" t="s">
        <v>3</v>
      </c>
      <c r="AL34" s="15"/>
      <c r="AP34" s="60" t="s">
        <v>5</v>
      </c>
      <c r="AQ34" s="60" t="e">
        <f>T34</f>
        <v>#DIV/0!</v>
      </c>
      <c r="AR34" s="60" t="e">
        <f t="shared" si="32"/>
        <v>#DIV/0!</v>
      </c>
    </row>
    <row r="35" spans="1:44" x14ac:dyDescent="0.3">
      <c r="A35" s="3" t="s">
        <v>96</v>
      </c>
      <c r="B35" s="3"/>
      <c r="C35" s="3">
        <f t="shared" si="30"/>
        <v>0</v>
      </c>
      <c r="D35" s="35"/>
      <c r="E35" s="37"/>
      <c r="F35" s="36"/>
      <c r="G35" s="3" t="s">
        <v>5</v>
      </c>
      <c r="H35" s="3"/>
      <c r="I35" s="3"/>
      <c r="J35" s="3" t="e">
        <f t="shared" si="2"/>
        <v>#DIV/0!</v>
      </c>
      <c r="K35" s="42"/>
      <c r="L35" s="3" t="s">
        <v>5</v>
      </c>
      <c r="M35" s="3"/>
      <c r="N35" s="42"/>
      <c r="O35" s="3" t="s">
        <v>5</v>
      </c>
      <c r="P35" s="3" t="e">
        <f t="shared" si="12"/>
        <v>#DIV/0!</v>
      </c>
      <c r="Q35" s="31"/>
      <c r="R35" s="3" t="s">
        <v>5</v>
      </c>
      <c r="S35" s="3">
        <v>1.6579999999999999</v>
      </c>
      <c r="T35" s="3" t="e">
        <f t="shared" si="4"/>
        <v>#DIV/0!</v>
      </c>
      <c r="V35" s="25"/>
      <c r="W35" s="25"/>
      <c r="X35" s="25"/>
      <c r="Y35" s="25"/>
      <c r="Z35" s="25"/>
      <c r="AA35" s="25"/>
      <c r="AB35" s="25"/>
      <c r="AC35" s="25"/>
      <c r="AD35" s="25"/>
      <c r="AE35" s="14" t="s">
        <v>52</v>
      </c>
      <c r="AF35" s="14" t="s">
        <v>53</v>
      </c>
      <c r="AG35" s="14" t="s">
        <v>54</v>
      </c>
      <c r="AH35" s="14" t="s">
        <v>55</v>
      </c>
      <c r="AI35" s="14" t="s">
        <v>56</v>
      </c>
      <c r="AJ35" s="14" t="s">
        <v>57</v>
      </c>
      <c r="AK35" s="48"/>
      <c r="AL35" s="49"/>
      <c r="AP35" s="60" t="s">
        <v>5</v>
      </c>
      <c r="AQ35" s="60" t="e">
        <f>T35</f>
        <v>#DIV/0!</v>
      </c>
      <c r="AR35" s="60" t="e">
        <f t="shared" si="32"/>
        <v>#DIV/0!</v>
      </c>
    </row>
    <row r="36" spans="1:44" x14ac:dyDescent="0.3">
      <c r="A36" s="3" t="s">
        <v>97</v>
      </c>
      <c r="B36" s="3"/>
      <c r="C36" s="3">
        <f t="shared" si="30"/>
        <v>0</v>
      </c>
      <c r="D36" s="35"/>
      <c r="E36" s="37"/>
      <c r="F36" s="36"/>
      <c r="G36" s="3" t="s">
        <v>5</v>
      </c>
      <c r="H36" s="3"/>
      <c r="I36" s="3"/>
      <c r="J36" s="3" t="e">
        <f t="shared" si="2"/>
        <v>#DIV/0!</v>
      </c>
      <c r="K36" s="42"/>
      <c r="L36" s="3" t="s">
        <v>5</v>
      </c>
      <c r="M36" s="3"/>
      <c r="N36" s="42"/>
      <c r="O36" s="3" t="s">
        <v>5</v>
      </c>
      <c r="P36" s="3" t="e">
        <f t="shared" si="12"/>
        <v>#DIV/0!</v>
      </c>
      <c r="Q36" s="31"/>
      <c r="R36" s="3" t="s">
        <v>5</v>
      </c>
      <c r="S36" s="3">
        <v>1.6579999999999999</v>
      </c>
      <c r="T36" s="3" t="e">
        <f t="shared" si="4"/>
        <v>#DIV/0!</v>
      </c>
      <c r="V36" s="25"/>
      <c r="W36" s="25"/>
      <c r="X36" s="25"/>
      <c r="Y36" s="25"/>
      <c r="Z36" s="25"/>
      <c r="AA36" s="25"/>
      <c r="AB36" s="25"/>
      <c r="AC36" s="25"/>
      <c r="AD36" s="25"/>
      <c r="AE36" s="14" t="e">
        <f>(AF32*AD33)/100</f>
        <v>#DIV/0!</v>
      </c>
      <c r="AF36" s="14" t="e">
        <f>(AF32*AD34)/100</f>
        <v>#DIV/0!</v>
      </c>
      <c r="AG36" s="14" t="e">
        <f>((AF33*AD32)/100)</f>
        <v>#DIV/0!</v>
      </c>
      <c r="AH36" s="14" t="e">
        <f>(AF33*AD34)/100</f>
        <v>#DIV/0!</v>
      </c>
      <c r="AI36" s="14" t="e">
        <f>(AF34*AD32)/100</f>
        <v>#DIV/0!</v>
      </c>
      <c r="AJ36" s="14" t="e">
        <f>(AF34*AD33)/100</f>
        <v>#DIV/0!</v>
      </c>
      <c r="AK36" s="50"/>
      <c r="AL36" s="51"/>
      <c r="AN36" s="1"/>
      <c r="AO36" s="1"/>
      <c r="AP36" s="60" t="s">
        <v>5</v>
      </c>
      <c r="AQ36" s="60" t="e">
        <f>T36</f>
        <v>#DIV/0!</v>
      </c>
      <c r="AR36" s="60" t="e">
        <f t="shared" si="10"/>
        <v>#DIV/0!</v>
      </c>
    </row>
    <row r="37" spans="1:44" s="1" customFormat="1" x14ac:dyDescent="0.3">
      <c r="A37" s="45"/>
      <c r="B37" s="45"/>
      <c r="C37" s="4" t="s">
        <v>21</v>
      </c>
      <c r="D37" s="35"/>
      <c r="E37" s="37"/>
      <c r="F37" s="36"/>
      <c r="G37" s="45"/>
      <c r="H37" s="45"/>
      <c r="I37" s="45"/>
      <c r="J37" s="45"/>
      <c r="K37" s="42"/>
      <c r="L37" s="27"/>
      <c r="M37" s="29"/>
      <c r="N37" s="42"/>
      <c r="O37" s="27"/>
      <c r="P37" s="29"/>
      <c r="Q37" s="31"/>
      <c r="R37" s="27"/>
      <c r="S37" s="28"/>
      <c r="T37" s="29"/>
      <c r="V37" s="25" t="s">
        <v>49</v>
      </c>
      <c r="W37" s="25"/>
      <c r="X37" s="25"/>
      <c r="Y37" s="25"/>
      <c r="Z37" s="25"/>
      <c r="AA37" s="25"/>
      <c r="AB37" s="25"/>
      <c r="AC37" s="25" t="s">
        <v>51</v>
      </c>
      <c r="AD37" s="25"/>
      <c r="AE37" s="14" t="e">
        <f>W33-AE36</f>
        <v>#DIV/0!</v>
      </c>
      <c r="AF37" s="14" t="e">
        <f>W34-AF36</f>
        <v>#DIV/0!</v>
      </c>
      <c r="AG37" s="14" t="e">
        <f>W32-AG36</f>
        <v>#DIV/0!</v>
      </c>
      <c r="AH37" s="14" t="e">
        <f>W34-AH36</f>
        <v>#DIV/0!</v>
      </c>
      <c r="AI37" s="14" t="e">
        <f>W32-AI36</f>
        <v>#DIV/0!</v>
      </c>
      <c r="AJ37" s="14" t="e">
        <f>W33-AJ36</f>
        <v>#DIV/0!</v>
      </c>
      <c r="AK37" s="52"/>
      <c r="AL37" s="53"/>
      <c r="AN37"/>
      <c r="AO37"/>
      <c r="AP37" s="27"/>
      <c r="AQ37" s="28"/>
      <c r="AR37" s="29"/>
    </row>
    <row r="38" spans="1:44" x14ac:dyDescent="0.3">
      <c r="A38" s="5" t="s">
        <v>98</v>
      </c>
      <c r="B38" s="5"/>
      <c r="C38" s="5">
        <f>($F$1*B38)/1000000</f>
        <v>0</v>
      </c>
      <c r="D38" s="35"/>
      <c r="E38" s="37"/>
      <c r="F38" s="36"/>
      <c r="G38" s="5" t="s">
        <v>6</v>
      </c>
      <c r="H38" s="5"/>
      <c r="I38" s="5"/>
      <c r="J38" s="5" t="e">
        <f t="shared" si="2"/>
        <v>#DIV/0!</v>
      </c>
      <c r="K38" s="42"/>
      <c r="L38" s="5" t="s">
        <v>6</v>
      </c>
      <c r="M38" s="5"/>
      <c r="N38" s="42"/>
      <c r="O38" s="5" t="s">
        <v>6</v>
      </c>
      <c r="P38" s="5" t="e">
        <f t="shared" si="12"/>
        <v>#DIV/0!</v>
      </c>
      <c r="Q38" s="31"/>
      <c r="R38" s="5" t="s">
        <v>6</v>
      </c>
      <c r="S38" s="5">
        <v>3.105</v>
      </c>
      <c r="T38" s="5" t="e">
        <f t="shared" si="4"/>
        <v>#DIV/0!</v>
      </c>
      <c r="V38" s="25" t="s">
        <v>40</v>
      </c>
      <c r="W38" s="25"/>
      <c r="X38" s="10" t="s">
        <v>41</v>
      </c>
      <c r="Y38" s="10" t="s">
        <v>42</v>
      </c>
      <c r="Z38" s="10" t="s">
        <v>43</v>
      </c>
      <c r="AA38" s="10" t="s">
        <v>44</v>
      </c>
      <c r="AB38" s="10" t="s">
        <v>44</v>
      </c>
      <c r="AC38" s="10"/>
      <c r="AD38" s="10"/>
      <c r="AE38" s="22" t="s">
        <v>59</v>
      </c>
      <c r="AF38" s="23"/>
      <c r="AG38" s="22" t="s">
        <v>60</v>
      </c>
      <c r="AH38" s="24"/>
      <c r="AI38" s="24"/>
      <c r="AJ38" s="23"/>
      <c r="AK38" s="16" t="s">
        <v>67</v>
      </c>
      <c r="AL38" s="16"/>
      <c r="AP38" s="60" t="s">
        <v>6</v>
      </c>
      <c r="AQ38" s="60" t="e">
        <f>T38</f>
        <v>#DIV/0!</v>
      </c>
      <c r="AR38" s="60" t="e">
        <f>(100*AQ38)/$AO$9</f>
        <v>#DIV/0!</v>
      </c>
    </row>
    <row r="39" spans="1:44" x14ac:dyDescent="0.3">
      <c r="A39" s="5" t="s">
        <v>99</v>
      </c>
      <c r="B39" s="5"/>
      <c r="C39" s="5">
        <f t="shared" ref="C39:C43" si="36">($F$1*B39)/1000000</f>
        <v>0</v>
      </c>
      <c r="D39" s="35"/>
      <c r="E39" s="37"/>
      <c r="F39" s="36"/>
      <c r="G39" s="5" t="s">
        <v>6</v>
      </c>
      <c r="H39" s="5"/>
      <c r="I39" s="5"/>
      <c r="J39" s="5" t="e">
        <f t="shared" si="2"/>
        <v>#DIV/0!</v>
      </c>
      <c r="K39" s="42"/>
      <c r="L39" s="5" t="s">
        <v>6</v>
      </c>
      <c r="M39" s="5"/>
      <c r="N39" s="42"/>
      <c r="O39" s="5" t="s">
        <v>6</v>
      </c>
      <c r="P39" s="5" t="e">
        <f t="shared" si="12"/>
        <v>#DIV/0!</v>
      </c>
      <c r="Q39" s="31"/>
      <c r="R39" s="5" t="s">
        <v>6</v>
      </c>
      <c r="S39" s="5">
        <v>3.105</v>
      </c>
      <c r="T39" s="5" t="e">
        <f t="shared" si="4"/>
        <v>#DIV/0!</v>
      </c>
      <c r="V39" s="10" t="s">
        <v>1</v>
      </c>
      <c r="W39" s="10" t="e">
        <f>T8</f>
        <v>#DIV/0!</v>
      </c>
      <c r="X39" s="10" t="e">
        <f>MROUND(W39,10)</f>
        <v>#DIV/0!</v>
      </c>
      <c r="Y39" s="10" t="e">
        <f>X39/MIN(X39:X41)</f>
        <v>#DIV/0!</v>
      </c>
      <c r="Z39" s="10" t="e">
        <f>Y39*10</f>
        <v>#DIV/0!</v>
      </c>
      <c r="AA39" s="10" t="e">
        <f t="shared" ref="AA39:AB41" si="37">Z39/2</f>
        <v>#DIV/0!</v>
      </c>
      <c r="AB39" s="11" t="e">
        <f t="shared" si="37"/>
        <v>#DIV/0!</v>
      </c>
      <c r="AC39" s="10" t="s">
        <v>1</v>
      </c>
      <c r="AD39" s="10"/>
      <c r="AE39" s="13" t="s">
        <v>1</v>
      </c>
      <c r="AF39" s="13" t="e">
        <f>((100*W39)/AD39)</f>
        <v>#DIV/0!</v>
      </c>
      <c r="AG39" s="2" t="s">
        <v>61</v>
      </c>
      <c r="AH39" s="2" t="e">
        <f>(100*AE44)/AL39</f>
        <v>#DIV/0!</v>
      </c>
      <c r="AI39" s="2" t="s">
        <v>64</v>
      </c>
      <c r="AJ39" s="2" t="e">
        <f>(100*AH44)/AL41</f>
        <v>#DIV/0!</v>
      </c>
      <c r="AK39" s="15" t="s">
        <v>1</v>
      </c>
      <c r="AL39" s="15"/>
      <c r="AP39" s="60" t="s">
        <v>6</v>
      </c>
      <c r="AQ39" s="60" t="e">
        <f>T39</f>
        <v>#DIV/0!</v>
      </c>
      <c r="AR39" s="60" t="e">
        <f t="shared" ref="AR39:AR43" si="38">(100*AQ39)/$AO$9</f>
        <v>#DIV/0!</v>
      </c>
    </row>
    <row r="40" spans="1:44" x14ac:dyDescent="0.3">
      <c r="A40" s="5" t="s">
        <v>100</v>
      </c>
      <c r="B40" s="5"/>
      <c r="C40" s="5">
        <f t="shared" si="36"/>
        <v>0</v>
      </c>
      <c r="D40" s="35"/>
      <c r="E40" s="37"/>
      <c r="F40" s="36"/>
      <c r="G40" s="5" t="s">
        <v>6</v>
      </c>
      <c r="H40" s="5"/>
      <c r="I40" s="5"/>
      <c r="J40" s="5" t="e">
        <f t="shared" si="2"/>
        <v>#DIV/0!</v>
      </c>
      <c r="K40" s="42"/>
      <c r="L40" s="5" t="s">
        <v>6</v>
      </c>
      <c r="M40" s="5"/>
      <c r="N40" s="42"/>
      <c r="O40" s="5" t="s">
        <v>6</v>
      </c>
      <c r="P40" s="5" t="e">
        <f t="shared" si="12"/>
        <v>#DIV/0!</v>
      </c>
      <c r="Q40" s="31"/>
      <c r="R40" s="5" t="s">
        <v>6</v>
      </c>
      <c r="S40" s="5">
        <v>3.105</v>
      </c>
      <c r="T40" s="5" t="e">
        <f t="shared" si="4"/>
        <v>#DIV/0!</v>
      </c>
      <c r="V40" s="10" t="s">
        <v>2</v>
      </c>
      <c r="W40" s="10" t="e">
        <f>T15</f>
        <v>#DIV/0!</v>
      </c>
      <c r="X40" s="10" t="e">
        <f t="shared" ref="X40:X41" si="39">MROUND(W40,10)</f>
        <v>#DIV/0!</v>
      </c>
      <c r="Y40" s="10" t="e">
        <f t="shared" ref="Y40:Y41" si="40">X40/MIN(X40:X42)</f>
        <v>#DIV/0!</v>
      </c>
      <c r="Z40" s="10" t="e">
        <f t="shared" ref="Z40:Z41" si="41">Y40*10</f>
        <v>#DIV/0!</v>
      </c>
      <c r="AA40" s="10" t="e">
        <f t="shared" si="37"/>
        <v>#DIV/0!</v>
      </c>
      <c r="AB40" s="11" t="e">
        <f t="shared" si="37"/>
        <v>#DIV/0!</v>
      </c>
      <c r="AC40" s="10" t="s">
        <v>2</v>
      </c>
      <c r="AD40" s="10"/>
      <c r="AE40" s="13" t="s">
        <v>2</v>
      </c>
      <c r="AF40" s="13" t="e">
        <f>((100*W40)/AD40)</f>
        <v>#DIV/0!</v>
      </c>
      <c r="AG40" s="2" t="s">
        <v>62</v>
      </c>
      <c r="AH40" s="2" t="e">
        <f>(100*AF44)/AL41</f>
        <v>#DIV/0!</v>
      </c>
      <c r="AI40" s="2" t="s">
        <v>65</v>
      </c>
      <c r="AJ40" s="2" t="e">
        <f>(100*AI44)/AL39</f>
        <v>#DIV/0!</v>
      </c>
      <c r="AK40" s="15" t="s">
        <v>2</v>
      </c>
      <c r="AL40" s="15"/>
      <c r="AP40" s="60" t="s">
        <v>6</v>
      </c>
      <c r="AQ40" s="60" t="e">
        <f>T40</f>
        <v>#DIV/0!</v>
      </c>
      <c r="AR40" s="60" t="e">
        <f t="shared" si="38"/>
        <v>#DIV/0!</v>
      </c>
    </row>
    <row r="41" spans="1:44" x14ac:dyDescent="0.3">
      <c r="A41" s="5" t="s">
        <v>101</v>
      </c>
      <c r="B41" s="5"/>
      <c r="C41" s="5">
        <f t="shared" si="36"/>
        <v>0</v>
      </c>
      <c r="D41" s="35"/>
      <c r="E41" s="37"/>
      <c r="F41" s="36"/>
      <c r="G41" s="5" t="s">
        <v>6</v>
      </c>
      <c r="H41" s="5"/>
      <c r="I41" s="5"/>
      <c r="J41" s="5" t="e">
        <f t="shared" si="2"/>
        <v>#DIV/0!</v>
      </c>
      <c r="K41" s="42"/>
      <c r="L41" s="5" t="s">
        <v>6</v>
      </c>
      <c r="M41" s="5"/>
      <c r="N41" s="42"/>
      <c r="O41" s="5" t="s">
        <v>6</v>
      </c>
      <c r="P41" s="5" t="e">
        <f t="shared" si="12"/>
        <v>#DIV/0!</v>
      </c>
      <c r="Q41" s="31"/>
      <c r="R41" s="5" t="s">
        <v>6</v>
      </c>
      <c r="S41" s="5">
        <v>3.105</v>
      </c>
      <c r="T41" s="5" t="e">
        <f t="shared" si="4"/>
        <v>#DIV/0!</v>
      </c>
      <c r="V41" s="10" t="s">
        <v>3</v>
      </c>
      <c r="W41" s="10" t="e">
        <f>T22</f>
        <v>#DIV/0!</v>
      </c>
      <c r="X41" s="10" t="e">
        <f t="shared" si="39"/>
        <v>#DIV/0!</v>
      </c>
      <c r="Y41" s="10" t="e">
        <f t="shared" si="40"/>
        <v>#DIV/0!</v>
      </c>
      <c r="Z41" s="10" t="e">
        <f t="shared" si="41"/>
        <v>#DIV/0!</v>
      </c>
      <c r="AA41" s="10" t="e">
        <f t="shared" si="37"/>
        <v>#DIV/0!</v>
      </c>
      <c r="AB41" s="11" t="e">
        <f t="shared" si="37"/>
        <v>#DIV/0!</v>
      </c>
      <c r="AC41" s="10" t="s">
        <v>3</v>
      </c>
      <c r="AD41" s="10"/>
      <c r="AE41" s="13" t="s">
        <v>3</v>
      </c>
      <c r="AF41" s="13" t="e">
        <f>((100*W41)/AD41)</f>
        <v>#DIV/0!</v>
      </c>
      <c r="AG41" s="2" t="s">
        <v>63</v>
      </c>
      <c r="AH41" s="2" t="e">
        <f>(100*AG44)/AL40</f>
        <v>#DIV/0!</v>
      </c>
      <c r="AI41" s="2" t="s">
        <v>66</v>
      </c>
      <c r="AJ41" s="2" t="e">
        <f>(100*AJ44)/AL41</f>
        <v>#DIV/0!</v>
      </c>
      <c r="AK41" s="15" t="s">
        <v>3</v>
      </c>
      <c r="AL41" s="15"/>
      <c r="AP41" s="60" t="s">
        <v>6</v>
      </c>
      <c r="AQ41" s="60" t="e">
        <f>T41</f>
        <v>#DIV/0!</v>
      </c>
      <c r="AR41" s="60" t="e">
        <f t="shared" si="38"/>
        <v>#DIV/0!</v>
      </c>
    </row>
    <row r="42" spans="1:44" x14ac:dyDescent="0.3">
      <c r="A42" s="5" t="s">
        <v>102</v>
      </c>
      <c r="B42" s="5"/>
      <c r="C42" s="5">
        <f t="shared" si="36"/>
        <v>0</v>
      </c>
      <c r="D42" s="35"/>
      <c r="E42" s="37"/>
      <c r="F42" s="36"/>
      <c r="G42" s="5" t="s">
        <v>6</v>
      </c>
      <c r="H42" s="5"/>
      <c r="I42" s="5"/>
      <c r="J42" s="5" t="e">
        <f t="shared" si="2"/>
        <v>#DIV/0!</v>
      </c>
      <c r="K42" s="42"/>
      <c r="L42" s="5" t="s">
        <v>6</v>
      </c>
      <c r="M42" s="5"/>
      <c r="N42" s="42"/>
      <c r="O42" s="5" t="s">
        <v>6</v>
      </c>
      <c r="P42" s="5" t="e">
        <f t="shared" si="12"/>
        <v>#DIV/0!</v>
      </c>
      <c r="Q42" s="31"/>
      <c r="R42" s="5" t="s">
        <v>6</v>
      </c>
      <c r="S42" s="5">
        <v>3.105</v>
      </c>
      <c r="T42" s="5" t="e">
        <f t="shared" si="4"/>
        <v>#DIV/0!</v>
      </c>
      <c r="AE42" s="14" t="s">
        <v>52</v>
      </c>
      <c r="AF42" s="14" t="s">
        <v>53</v>
      </c>
      <c r="AG42" s="14" t="s">
        <v>54</v>
      </c>
      <c r="AH42" s="14" t="s">
        <v>55</v>
      </c>
      <c r="AI42" s="14" t="s">
        <v>56</v>
      </c>
      <c r="AJ42" s="14" t="s">
        <v>57</v>
      </c>
      <c r="AP42" s="60" t="s">
        <v>6</v>
      </c>
      <c r="AQ42" s="60" t="e">
        <f>T42</f>
        <v>#DIV/0!</v>
      </c>
      <c r="AR42" s="60" t="e">
        <f t="shared" si="38"/>
        <v>#DIV/0!</v>
      </c>
    </row>
    <row r="43" spans="1:44" x14ac:dyDescent="0.3">
      <c r="A43" s="5" t="s">
        <v>103</v>
      </c>
      <c r="B43" s="5"/>
      <c r="C43" s="5">
        <f t="shared" si="36"/>
        <v>0</v>
      </c>
      <c r="D43" s="35"/>
      <c r="E43" s="37"/>
      <c r="F43" s="36"/>
      <c r="G43" s="5" t="s">
        <v>6</v>
      </c>
      <c r="H43" s="5"/>
      <c r="I43" s="5"/>
      <c r="J43" s="5" t="e">
        <f t="shared" si="2"/>
        <v>#DIV/0!</v>
      </c>
      <c r="K43" s="42"/>
      <c r="L43" s="5" t="s">
        <v>6</v>
      </c>
      <c r="M43" s="5"/>
      <c r="N43" s="42"/>
      <c r="O43" s="5" t="s">
        <v>6</v>
      </c>
      <c r="P43" s="5" t="e">
        <f t="shared" si="12"/>
        <v>#DIV/0!</v>
      </c>
      <c r="Q43" s="31"/>
      <c r="R43" s="5" t="s">
        <v>6</v>
      </c>
      <c r="S43" s="5">
        <v>3.105</v>
      </c>
      <c r="T43" s="5" t="e">
        <f t="shared" si="4"/>
        <v>#DIV/0!</v>
      </c>
      <c r="AE43" s="14" t="e">
        <f>(AF39*AD40)/100</f>
        <v>#DIV/0!</v>
      </c>
      <c r="AF43" s="14" t="e">
        <f>(AF39*AD41)/100</f>
        <v>#DIV/0!</v>
      </c>
      <c r="AG43" s="14" t="e">
        <f>((AF40*AD39)/100)</f>
        <v>#DIV/0!</v>
      </c>
      <c r="AH43" s="14" t="e">
        <f>(AF40*AD41)/100</f>
        <v>#DIV/0!</v>
      </c>
      <c r="AI43" s="14" t="e">
        <f>(AF41*AD39)/100</f>
        <v>#DIV/0!</v>
      </c>
      <c r="AJ43" s="14" t="e">
        <f>(AF41*AD40)/100</f>
        <v>#DIV/0!</v>
      </c>
      <c r="AN43" s="1"/>
      <c r="AO43" s="1"/>
      <c r="AP43" s="60" t="s">
        <v>6</v>
      </c>
      <c r="AQ43" s="60" t="e">
        <f>T43</f>
        <v>#DIV/0!</v>
      </c>
      <c r="AR43" s="60" t="e">
        <f t="shared" si="38"/>
        <v>#DIV/0!</v>
      </c>
    </row>
    <row r="44" spans="1:44" s="1" customFormat="1" x14ac:dyDescent="0.3">
      <c r="A44" s="45"/>
      <c r="B44" s="45"/>
      <c r="C44" s="4" t="s">
        <v>22</v>
      </c>
      <c r="D44" s="35"/>
      <c r="E44" s="37"/>
      <c r="F44" s="36"/>
      <c r="G44" s="45"/>
      <c r="H44" s="45"/>
      <c r="I44" s="45"/>
      <c r="J44" s="45"/>
      <c r="K44" s="42"/>
      <c r="L44" s="6"/>
      <c r="M44" s="7"/>
      <c r="N44" s="42"/>
      <c r="O44" s="27"/>
      <c r="P44" s="29"/>
      <c r="Q44" s="31"/>
      <c r="R44" s="27"/>
      <c r="S44" s="28"/>
      <c r="T44" s="29"/>
      <c r="AE44" s="14" t="e">
        <f>W40-AE43</f>
        <v>#DIV/0!</v>
      </c>
      <c r="AF44" s="14" t="e">
        <f>W41-AF43</f>
        <v>#DIV/0!</v>
      </c>
      <c r="AG44" s="14" t="e">
        <f>W39-AG43</f>
        <v>#DIV/0!</v>
      </c>
      <c r="AH44" s="14" t="e">
        <f>W41-AH43</f>
        <v>#DIV/0!</v>
      </c>
      <c r="AI44" s="14" t="e">
        <f>W39-AI43</f>
        <v>#DIV/0!</v>
      </c>
      <c r="AJ44" s="14" t="e">
        <f>W40-AJ43</f>
        <v>#DIV/0!</v>
      </c>
      <c r="AP44" s="27"/>
      <c r="AQ44" s="28"/>
      <c r="AR44" s="29"/>
    </row>
    <row r="45" spans="1:44" s="1" customFormat="1" x14ac:dyDescent="0.3">
      <c r="A45" s="8" t="s">
        <v>104</v>
      </c>
      <c r="B45" s="8"/>
      <c r="C45" s="8">
        <f>($F$1*B45)/1000000</f>
        <v>0</v>
      </c>
      <c r="D45" s="35"/>
      <c r="E45" s="37"/>
      <c r="F45" s="36"/>
      <c r="G45" s="8" t="s">
        <v>7</v>
      </c>
      <c r="H45" s="8"/>
      <c r="I45" s="8"/>
      <c r="J45" s="8" t="e">
        <f t="shared" si="2"/>
        <v>#DIV/0!</v>
      </c>
      <c r="K45" s="42"/>
      <c r="L45" s="8" t="s">
        <v>7</v>
      </c>
      <c r="M45" s="8"/>
      <c r="N45" s="42"/>
      <c r="O45" s="8" t="s">
        <v>7</v>
      </c>
      <c r="P45" s="8" t="e">
        <f t="shared" si="12"/>
        <v>#DIV/0!</v>
      </c>
      <c r="Q45" s="31"/>
      <c r="R45" s="8" t="s">
        <v>7</v>
      </c>
      <c r="S45" s="8">
        <v>1.29</v>
      </c>
      <c r="T45" s="8" t="e">
        <f t="shared" si="4"/>
        <v>#DIV/0!</v>
      </c>
      <c r="AN45"/>
      <c r="AO45"/>
      <c r="AP45" s="60" t="s">
        <v>7</v>
      </c>
      <c r="AQ45" s="60" t="e">
        <f>T45</f>
        <v>#DIV/0!</v>
      </c>
      <c r="AR45" s="60" t="e">
        <f>(100*AQ45)/$AO$11</f>
        <v>#DIV/0!</v>
      </c>
    </row>
    <row r="46" spans="1:44" x14ac:dyDescent="0.3">
      <c r="A46" s="8" t="s">
        <v>105</v>
      </c>
      <c r="B46" s="8"/>
      <c r="C46" s="8">
        <f t="shared" ref="C46:C78" si="42">($F$1*B46)/1000000</f>
        <v>0</v>
      </c>
      <c r="D46" s="35"/>
      <c r="E46" s="37"/>
      <c r="F46" s="36"/>
      <c r="G46" s="8" t="s">
        <v>7</v>
      </c>
      <c r="H46" s="8"/>
      <c r="I46" s="8"/>
      <c r="J46" s="8" t="e">
        <f t="shared" si="2"/>
        <v>#DIV/0!</v>
      </c>
      <c r="K46" s="42"/>
      <c r="L46" s="8" t="s">
        <v>7</v>
      </c>
      <c r="M46" s="8"/>
      <c r="N46" s="42"/>
      <c r="O46" s="8" t="s">
        <v>7</v>
      </c>
      <c r="P46" s="8" t="e">
        <f t="shared" si="12"/>
        <v>#DIV/0!</v>
      </c>
      <c r="Q46" s="31"/>
      <c r="R46" s="8" t="s">
        <v>7</v>
      </c>
      <c r="S46" s="8">
        <v>1.29</v>
      </c>
      <c r="T46" s="8" t="e">
        <f t="shared" si="4"/>
        <v>#DIV/0!</v>
      </c>
      <c r="AP46" s="60" t="s">
        <v>7</v>
      </c>
      <c r="AQ46" s="60" t="e">
        <f>T46</f>
        <v>#DIV/0!</v>
      </c>
      <c r="AR46" s="60" t="e">
        <f t="shared" ref="AR46:AR50" si="43">(100*AQ46)/$AO$11</f>
        <v>#DIV/0!</v>
      </c>
    </row>
    <row r="47" spans="1:44" x14ac:dyDescent="0.3">
      <c r="A47" s="8" t="s">
        <v>106</v>
      </c>
      <c r="B47" s="8"/>
      <c r="C47" s="8">
        <f t="shared" si="42"/>
        <v>0</v>
      </c>
      <c r="D47" s="35"/>
      <c r="E47" s="37"/>
      <c r="F47" s="36"/>
      <c r="G47" s="8" t="s">
        <v>7</v>
      </c>
      <c r="H47" s="8"/>
      <c r="I47" s="8"/>
      <c r="J47" s="8" t="e">
        <f t="shared" si="2"/>
        <v>#DIV/0!</v>
      </c>
      <c r="K47" s="42"/>
      <c r="L47" s="8" t="s">
        <v>7</v>
      </c>
      <c r="M47" s="8"/>
      <c r="N47" s="42"/>
      <c r="O47" s="8" t="s">
        <v>7</v>
      </c>
      <c r="P47" s="8" t="e">
        <f t="shared" si="12"/>
        <v>#DIV/0!</v>
      </c>
      <c r="Q47" s="31"/>
      <c r="R47" s="8" t="s">
        <v>7</v>
      </c>
      <c r="S47" s="8">
        <v>1.29</v>
      </c>
      <c r="T47" s="8" t="e">
        <f t="shared" si="4"/>
        <v>#DIV/0!</v>
      </c>
      <c r="AP47" s="60" t="s">
        <v>7</v>
      </c>
      <c r="AQ47" s="60" t="e">
        <f>T47</f>
        <v>#DIV/0!</v>
      </c>
      <c r="AR47" s="60" t="e">
        <f t="shared" si="43"/>
        <v>#DIV/0!</v>
      </c>
    </row>
    <row r="48" spans="1:44" x14ac:dyDescent="0.3">
      <c r="A48" s="8" t="s">
        <v>107</v>
      </c>
      <c r="B48" s="8"/>
      <c r="C48" s="8">
        <f t="shared" si="42"/>
        <v>0</v>
      </c>
      <c r="D48" s="35"/>
      <c r="E48" s="37"/>
      <c r="F48" s="36"/>
      <c r="G48" s="8" t="s">
        <v>7</v>
      </c>
      <c r="H48" s="8"/>
      <c r="I48" s="8"/>
      <c r="J48" s="8" t="e">
        <f t="shared" si="2"/>
        <v>#DIV/0!</v>
      </c>
      <c r="K48" s="42"/>
      <c r="L48" s="8" t="s">
        <v>7</v>
      </c>
      <c r="M48" s="8"/>
      <c r="N48" s="42"/>
      <c r="O48" s="8" t="s">
        <v>7</v>
      </c>
      <c r="P48" s="8" t="e">
        <f t="shared" si="12"/>
        <v>#DIV/0!</v>
      </c>
      <c r="Q48" s="31"/>
      <c r="R48" s="8" t="s">
        <v>7</v>
      </c>
      <c r="S48" s="8">
        <v>1.29</v>
      </c>
      <c r="T48" s="8" t="e">
        <f t="shared" si="4"/>
        <v>#DIV/0!</v>
      </c>
      <c r="AP48" s="60" t="s">
        <v>7</v>
      </c>
      <c r="AQ48" s="60" t="e">
        <f>T48</f>
        <v>#DIV/0!</v>
      </c>
      <c r="AR48" s="60" t="e">
        <f t="shared" si="43"/>
        <v>#DIV/0!</v>
      </c>
    </row>
    <row r="49" spans="1:44" x14ac:dyDescent="0.3">
      <c r="A49" s="8" t="s">
        <v>108</v>
      </c>
      <c r="B49" s="8"/>
      <c r="C49" s="8">
        <f t="shared" si="42"/>
        <v>0</v>
      </c>
      <c r="D49" s="35"/>
      <c r="E49" s="37"/>
      <c r="F49" s="36"/>
      <c r="G49" s="8" t="s">
        <v>7</v>
      </c>
      <c r="H49" s="8"/>
      <c r="I49" s="8"/>
      <c r="J49" s="8" t="e">
        <f t="shared" si="2"/>
        <v>#DIV/0!</v>
      </c>
      <c r="K49" s="42"/>
      <c r="L49" s="8" t="s">
        <v>7</v>
      </c>
      <c r="M49" s="8"/>
      <c r="N49" s="42"/>
      <c r="O49" s="8" t="s">
        <v>7</v>
      </c>
      <c r="P49" s="8" t="e">
        <f t="shared" si="12"/>
        <v>#DIV/0!</v>
      </c>
      <c r="Q49" s="31"/>
      <c r="R49" s="8" t="s">
        <v>7</v>
      </c>
      <c r="S49" s="8">
        <v>1.29</v>
      </c>
      <c r="T49" s="8" t="e">
        <f t="shared" si="4"/>
        <v>#DIV/0!</v>
      </c>
      <c r="AP49" s="60" t="s">
        <v>7</v>
      </c>
      <c r="AQ49" s="60" t="e">
        <f>T49</f>
        <v>#DIV/0!</v>
      </c>
      <c r="AR49" s="60" t="e">
        <f t="shared" si="43"/>
        <v>#DIV/0!</v>
      </c>
    </row>
    <row r="50" spans="1:44" x14ac:dyDescent="0.3">
      <c r="A50" s="8" t="s">
        <v>109</v>
      </c>
      <c r="B50" s="8"/>
      <c r="C50" s="8">
        <f t="shared" si="42"/>
        <v>0</v>
      </c>
      <c r="D50" s="35"/>
      <c r="E50" s="37"/>
      <c r="F50" s="36"/>
      <c r="G50" s="8" t="s">
        <v>7</v>
      </c>
      <c r="H50" s="8"/>
      <c r="I50" s="8"/>
      <c r="J50" s="8" t="e">
        <f t="shared" si="2"/>
        <v>#DIV/0!</v>
      </c>
      <c r="K50" s="42"/>
      <c r="L50" s="8" t="s">
        <v>7</v>
      </c>
      <c r="M50" s="8"/>
      <c r="N50" s="42"/>
      <c r="O50" s="8" t="s">
        <v>7</v>
      </c>
      <c r="P50" s="8" t="e">
        <f t="shared" si="12"/>
        <v>#DIV/0!</v>
      </c>
      <c r="Q50" s="31"/>
      <c r="R50" s="8" t="s">
        <v>7</v>
      </c>
      <c r="S50" s="8">
        <v>1.29</v>
      </c>
      <c r="T50" s="8" t="e">
        <f t="shared" si="4"/>
        <v>#DIV/0!</v>
      </c>
      <c r="AP50" s="60" t="s">
        <v>7</v>
      </c>
      <c r="AQ50" s="60" t="e">
        <f>T50</f>
        <v>#DIV/0!</v>
      </c>
      <c r="AR50" s="60" t="e">
        <f t="shared" si="43"/>
        <v>#DIV/0!</v>
      </c>
    </row>
    <row r="51" spans="1:44" x14ac:dyDescent="0.3">
      <c r="A51" s="45"/>
      <c r="B51" s="45"/>
      <c r="C51" s="2" t="s">
        <v>23</v>
      </c>
      <c r="D51" s="35"/>
      <c r="E51" s="37"/>
      <c r="F51" s="36"/>
      <c r="G51" s="45"/>
      <c r="H51" s="45"/>
      <c r="I51" s="45"/>
      <c r="J51" s="45"/>
      <c r="K51" s="42"/>
      <c r="L51" s="6"/>
      <c r="M51" s="7"/>
      <c r="N51" s="42"/>
      <c r="O51" s="27"/>
      <c r="P51" s="29"/>
      <c r="Q51" s="31"/>
      <c r="R51" s="27"/>
      <c r="S51" s="28"/>
      <c r="T51" s="29"/>
      <c r="AN51" s="1"/>
      <c r="AO51" s="1"/>
      <c r="AP51" s="27"/>
      <c r="AQ51" s="28"/>
      <c r="AR51" s="29"/>
    </row>
    <row r="52" spans="1:44" s="1" customFormat="1" x14ac:dyDescent="0.3">
      <c r="A52" s="9" t="s">
        <v>110</v>
      </c>
      <c r="B52" s="9"/>
      <c r="C52" s="9">
        <f t="shared" si="42"/>
        <v>0</v>
      </c>
      <c r="D52" s="35"/>
      <c r="E52" s="37"/>
      <c r="F52" s="36"/>
      <c r="G52" s="9" t="s">
        <v>8</v>
      </c>
      <c r="H52" s="9"/>
      <c r="I52" s="9"/>
      <c r="J52" s="9" t="e">
        <f t="shared" si="2"/>
        <v>#DIV/0!</v>
      </c>
      <c r="K52" s="42"/>
      <c r="L52" s="9" t="s">
        <v>8</v>
      </c>
      <c r="M52" s="9"/>
      <c r="N52" s="42"/>
      <c r="O52" s="9" t="s">
        <v>8</v>
      </c>
      <c r="P52" s="9" t="e">
        <f t="shared" si="12"/>
        <v>#DIV/0!</v>
      </c>
      <c r="Q52" s="31"/>
      <c r="R52" s="9" t="s">
        <v>8</v>
      </c>
      <c r="S52" s="9">
        <v>1.25</v>
      </c>
      <c r="T52" s="9" t="e">
        <f t="shared" si="4"/>
        <v>#DIV/0!</v>
      </c>
      <c r="AN52"/>
      <c r="AO52"/>
      <c r="AP52" s="60" t="s">
        <v>8</v>
      </c>
      <c r="AQ52" s="60" t="e">
        <f>T52</f>
        <v>#DIV/0!</v>
      </c>
      <c r="AR52" s="60" t="e">
        <f>(100*AQ52)/$AO$12</f>
        <v>#DIV/0!</v>
      </c>
    </row>
    <row r="53" spans="1:44" x14ac:dyDescent="0.3">
      <c r="A53" s="9" t="s">
        <v>111</v>
      </c>
      <c r="B53" s="9"/>
      <c r="C53" s="9">
        <f t="shared" si="42"/>
        <v>0</v>
      </c>
      <c r="D53" s="35"/>
      <c r="E53" s="37"/>
      <c r="F53" s="36"/>
      <c r="G53" s="9" t="s">
        <v>8</v>
      </c>
      <c r="H53" s="9"/>
      <c r="I53" s="9"/>
      <c r="J53" s="9" t="e">
        <f t="shared" si="2"/>
        <v>#DIV/0!</v>
      </c>
      <c r="K53" s="42"/>
      <c r="L53" s="9" t="s">
        <v>8</v>
      </c>
      <c r="M53" s="9"/>
      <c r="N53" s="42"/>
      <c r="O53" s="9" t="s">
        <v>8</v>
      </c>
      <c r="P53" s="9" t="e">
        <f t="shared" si="12"/>
        <v>#DIV/0!</v>
      </c>
      <c r="Q53" s="31"/>
      <c r="R53" s="9" t="s">
        <v>8</v>
      </c>
      <c r="S53" s="9">
        <v>1.25</v>
      </c>
      <c r="T53" s="9" t="e">
        <f t="shared" si="4"/>
        <v>#DIV/0!</v>
      </c>
      <c r="AP53" s="60" t="s">
        <v>8</v>
      </c>
      <c r="AQ53" s="60" t="e">
        <f>T53</f>
        <v>#DIV/0!</v>
      </c>
      <c r="AR53" s="60" t="e">
        <f t="shared" ref="AR53:AR57" si="44">(100*AQ53)/$AO$12</f>
        <v>#DIV/0!</v>
      </c>
    </row>
    <row r="54" spans="1:44" x14ac:dyDescent="0.3">
      <c r="A54" s="9" t="s">
        <v>112</v>
      </c>
      <c r="B54" s="9"/>
      <c r="C54" s="9">
        <f t="shared" si="42"/>
        <v>0</v>
      </c>
      <c r="D54" s="35"/>
      <c r="E54" s="37"/>
      <c r="F54" s="36"/>
      <c r="G54" s="9" t="s">
        <v>8</v>
      </c>
      <c r="H54" s="9"/>
      <c r="I54" s="9"/>
      <c r="J54" s="9" t="e">
        <f t="shared" si="2"/>
        <v>#DIV/0!</v>
      </c>
      <c r="K54" s="42"/>
      <c r="L54" s="9" t="s">
        <v>8</v>
      </c>
      <c r="M54" s="9"/>
      <c r="N54" s="42"/>
      <c r="O54" s="9" t="s">
        <v>8</v>
      </c>
      <c r="P54" s="9" t="e">
        <f t="shared" si="12"/>
        <v>#DIV/0!</v>
      </c>
      <c r="Q54" s="31"/>
      <c r="R54" s="9" t="s">
        <v>8</v>
      </c>
      <c r="S54" s="9">
        <v>1.25</v>
      </c>
      <c r="T54" s="9" t="e">
        <f t="shared" si="4"/>
        <v>#DIV/0!</v>
      </c>
      <c r="AP54" s="60" t="s">
        <v>8</v>
      </c>
      <c r="AQ54" s="60" t="e">
        <f>T54</f>
        <v>#DIV/0!</v>
      </c>
      <c r="AR54" s="60" t="e">
        <f t="shared" si="44"/>
        <v>#DIV/0!</v>
      </c>
    </row>
    <row r="55" spans="1:44" x14ac:dyDescent="0.3">
      <c r="A55" s="9" t="s">
        <v>113</v>
      </c>
      <c r="B55" s="9"/>
      <c r="C55" s="9">
        <f t="shared" si="42"/>
        <v>0</v>
      </c>
      <c r="D55" s="35"/>
      <c r="E55" s="37"/>
      <c r="F55" s="36"/>
      <c r="G55" s="9" t="s">
        <v>8</v>
      </c>
      <c r="H55" s="9"/>
      <c r="I55" s="9"/>
      <c r="J55" s="9" t="e">
        <f t="shared" si="2"/>
        <v>#DIV/0!</v>
      </c>
      <c r="K55" s="42"/>
      <c r="L55" s="9" t="s">
        <v>8</v>
      </c>
      <c r="M55" s="9"/>
      <c r="N55" s="42"/>
      <c r="O55" s="9" t="s">
        <v>8</v>
      </c>
      <c r="P55" s="9" t="e">
        <f t="shared" si="12"/>
        <v>#DIV/0!</v>
      </c>
      <c r="Q55" s="31"/>
      <c r="R55" s="9" t="s">
        <v>8</v>
      </c>
      <c r="S55" s="9">
        <v>1.25</v>
      </c>
      <c r="T55" s="9" t="e">
        <f t="shared" si="4"/>
        <v>#DIV/0!</v>
      </c>
      <c r="AP55" s="60" t="s">
        <v>8</v>
      </c>
      <c r="AQ55" s="60" t="e">
        <f>T55</f>
        <v>#DIV/0!</v>
      </c>
      <c r="AR55" s="60" t="e">
        <f t="shared" si="44"/>
        <v>#DIV/0!</v>
      </c>
    </row>
    <row r="56" spans="1:44" x14ac:dyDescent="0.3">
      <c r="A56" s="9" t="s">
        <v>114</v>
      </c>
      <c r="B56" s="9"/>
      <c r="C56" s="9">
        <f t="shared" si="42"/>
        <v>0</v>
      </c>
      <c r="D56" s="35"/>
      <c r="E56" s="37"/>
      <c r="F56" s="36"/>
      <c r="G56" s="9" t="s">
        <v>8</v>
      </c>
      <c r="H56" s="9"/>
      <c r="I56" s="9"/>
      <c r="J56" s="9" t="e">
        <f t="shared" si="2"/>
        <v>#DIV/0!</v>
      </c>
      <c r="K56" s="42"/>
      <c r="L56" s="9" t="s">
        <v>8</v>
      </c>
      <c r="M56" s="9"/>
      <c r="N56" s="42"/>
      <c r="O56" s="9" t="s">
        <v>8</v>
      </c>
      <c r="P56" s="9" t="e">
        <f t="shared" si="12"/>
        <v>#DIV/0!</v>
      </c>
      <c r="Q56" s="31"/>
      <c r="R56" s="9" t="s">
        <v>8</v>
      </c>
      <c r="S56" s="9">
        <v>1.25</v>
      </c>
      <c r="T56" s="9" t="e">
        <f t="shared" si="4"/>
        <v>#DIV/0!</v>
      </c>
      <c r="AP56" s="60" t="s">
        <v>8</v>
      </c>
      <c r="AQ56" s="60" t="e">
        <f>T56</f>
        <v>#DIV/0!</v>
      </c>
      <c r="AR56" s="60" t="e">
        <f t="shared" si="44"/>
        <v>#DIV/0!</v>
      </c>
    </row>
    <row r="57" spans="1:44" x14ac:dyDescent="0.3">
      <c r="A57" s="9" t="s">
        <v>115</v>
      </c>
      <c r="B57" s="9"/>
      <c r="C57" s="9">
        <f t="shared" si="42"/>
        <v>0</v>
      </c>
      <c r="D57" s="35"/>
      <c r="E57" s="37"/>
      <c r="F57" s="36"/>
      <c r="G57" s="9" t="s">
        <v>8</v>
      </c>
      <c r="H57" s="9"/>
      <c r="I57" s="9"/>
      <c r="J57" s="9" t="e">
        <f t="shared" si="2"/>
        <v>#DIV/0!</v>
      </c>
      <c r="K57" s="42"/>
      <c r="L57" s="9" t="s">
        <v>8</v>
      </c>
      <c r="M57" s="9"/>
      <c r="N57" s="42"/>
      <c r="O57" s="9" t="s">
        <v>8</v>
      </c>
      <c r="P57" s="9" t="e">
        <f t="shared" si="12"/>
        <v>#DIV/0!</v>
      </c>
      <c r="Q57" s="31"/>
      <c r="R57" s="9" t="s">
        <v>8</v>
      </c>
      <c r="S57" s="9">
        <v>1.25</v>
      </c>
      <c r="T57" s="9" t="e">
        <f t="shared" si="4"/>
        <v>#DIV/0!</v>
      </c>
      <c r="AP57" s="60" t="s">
        <v>8</v>
      </c>
      <c r="AQ57" s="60" t="e">
        <f>T57</f>
        <v>#DIV/0!</v>
      </c>
      <c r="AR57" s="60" t="e">
        <f t="shared" si="44"/>
        <v>#DIV/0!</v>
      </c>
    </row>
    <row r="58" spans="1:44" x14ac:dyDescent="0.3">
      <c r="A58" s="45"/>
      <c r="B58" s="45"/>
      <c r="C58" s="2" t="s">
        <v>24</v>
      </c>
      <c r="D58" s="35"/>
      <c r="E58" s="37"/>
      <c r="F58" s="36"/>
      <c r="G58" s="45"/>
      <c r="H58" s="45"/>
      <c r="I58" s="45"/>
      <c r="J58" s="45"/>
      <c r="K58" s="42"/>
      <c r="L58" s="27"/>
      <c r="M58" s="29"/>
      <c r="N58" s="42"/>
      <c r="O58" s="27"/>
      <c r="P58" s="29"/>
      <c r="Q58" s="31"/>
      <c r="R58" s="27"/>
      <c r="S58" s="28"/>
      <c r="T58" s="29"/>
      <c r="AN58" s="1"/>
      <c r="AO58" s="1"/>
      <c r="AP58" s="27"/>
      <c r="AQ58" s="28"/>
      <c r="AR58" s="29"/>
    </row>
    <row r="59" spans="1:44" s="1" customFormat="1" x14ac:dyDescent="0.3">
      <c r="A59" s="8" t="s">
        <v>116</v>
      </c>
      <c r="B59" s="8"/>
      <c r="C59" s="8">
        <f t="shared" si="42"/>
        <v>0</v>
      </c>
      <c r="D59" s="35"/>
      <c r="E59" s="37"/>
      <c r="F59" s="36"/>
      <c r="G59" s="8" t="s">
        <v>9</v>
      </c>
      <c r="H59" s="8"/>
      <c r="I59" s="8"/>
      <c r="J59" s="8" t="e">
        <f t="shared" si="2"/>
        <v>#DIV/0!</v>
      </c>
      <c r="K59" s="42"/>
      <c r="L59" s="8" t="s">
        <v>9</v>
      </c>
      <c r="M59" s="8"/>
      <c r="N59" s="42"/>
      <c r="O59" s="8" t="s">
        <v>9</v>
      </c>
      <c r="P59" s="8" t="e">
        <f t="shared" si="12"/>
        <v>#DIV/0!</v>
      </c>
      <c r="Q59" s="31"/>
      <c r="R59" s="8" t="s">
        <v>9</v>
      </c>
      <c r="S59" s="8">
        <v>1.25</v>
      </c>
      <c r="T59" s="8" t="e">
        <f t="shared" si="4"/>
        <v>#DIV/0!</v>
      </c>
      <c r="AN59"/>
      <c r="AO59"/>
      <c r="AP59" s="60" t="s">
        <v>9</v>
      </c>
      <c r="AQ59" s="60" t="e">
        <f>T59</f>
        <v>#DIV/0!</v>
      </c>
      <c r="AR59" s="60" t="e">
        <f>(100*AQ59)/$AO$13</f>
        <v>#DIV/0!</v>
      </c>
    </row>
    <row r="60" spans="1:44" x14ac:dyDescent="0.3">
      <c r="A60" s="8" t="s">
        <v>117</v>
      </c>
      <c r="B60" s="8"/>
      <c r="C60" s="8">
        <f t="shared" si="42"/>
        <v>0</v>
      </c>
      <c r="D60" s="35"/>
      <c r="E60" s="37"/>
      <c r="F60" s="36"/>
      <c r="G60" s="8" t="s">
        <v>9</v>
      </c>
      <c r="H60" s="8"/>
      <c r="I60" s="8"/>
      <c r="J60" s="8" t="e">
        <f t="shared" si="2"/>
        <v>#DIV/0!</v>
      </c>
      <c r="K60" s="42"/>
      <c r="L60" s="8" t="s">
        <v>9</v>
      </c>
      <c r="M60" s="8"/>
      <c r="N60" s="42"/>
      <c r="O60" s="8" t="s">
        <v>9</v>
      </c>
      <c r="P60" s="8" t="e">
        <f t="shared" si="12"/>
        <v>#DIV/0!</v>
      </c>
      <c r="Q60" s="31"/>
      <c r="R60" s="8" t="s">
        <v>9</v>
      </c>
      <c r="S60" s="8">
        <v>1.25</v>
      </c>
      <c r="T60" s="8" t="e">
        <f t="shared" si="4"/>
        <v>#DIV/0!</v>
      </c>
      <c r="AP60" s="60" t="s">
        <v>9</v>
      </c>
      <c r="AQ60" s="60" t="e">
        <f>T60</f>
        <v>#DIV/0!</v>
      </c>
      <c r="AR60" s="60" t="e">
        <f t="shared" ref="AR60:AR64" si="45">(100*AQ60)/$AO$13</f>
        <v>#DIV/0!</v>
      </c>
    </row>
    <row r="61" spans="1:44" x14ac:dyDescent="0.3">
      <c r="A61" s="8" t="s">
        <v>118</v>
      </c>
      <c r="B61" s="8"/>
      <c r="C61" s="8">
        <f t="shared" si="42"/>
        <v>0</v>
      </c>
      <c r="D61" s="35"/>
      <c r="E61" s="37"/>
      <c r="F61" s="36"/>
      <c r="G61" s="8" t="s">
        <v>9</v>
      </c>
      <c r="H61" s="8"/>
      <c r="I61" s="8"/>
      <c r="J61" s="8" t="e">
        <f t="shared" ref="J61:J78" si="46">($J$1*H61)/I61</f>
        <v>#DIV/0!</v>
      </c>
      <c r="K61" s="42"/>
      <c r="L61" s="8" t="s">
        <v>9</v>
      </c>
      <c r="M61" s="8"/>
      <c r="N61" s="42"/>
      <c r="O61" s="8" t="s">
        <v>9</v>
      </c>
      <c r="P61" s="8" t="e">
        <f t="shared" si="12"/>
        <v>#DIV/0!</v>
      </c>
      <c r="Q61" s="31"/>
      <c r="R61" s="8" t="s">
        <v>9</v>
      </c>
      <c r="S61" s="8">
        <v>1.25</v>
      </c>
      <c r="T61" s="8" t="e">
        <f t="shared" si="4"/>
        <v>#DIV/0!</v>
      </c>
      <c r="AP61" s="60" t="s">
        <v>9</v>
      </c>
      <c r="AQ61" s="60" t="e">
        <f>T61</f>
        <v>#DIV/0!</v>
      </c>
      <c r="AR61" s="60" t="e">
        <f t="shared" si="45"/>
        <v>#DIV/0!</v>
      </c>
    </row>
    <row r="62" spans="1:44" x14ac:dyDescent="0.3">
      <c r="A62" s="8" t="s">
        <v>119</v>
      </c>
      <c r="B62" s="8"/>
      <c r="C62" s="8">
        <f t="shared" si="42"/>
        <v>0</v>
      </c>
      <c r="D62" s="35"/>
      <c r="E62" s="37"/>
      <c r="F62" s="36"/>
      <c r="G62" s="8" t="s">
        <v>9</v>
      </c>
      <c r="H62" s="8"/>
      <c r="I62" s="8"/>
      <c r="J62" s="8" t="e">
        <f t="shared" si="46"/>
        <v>#DIV/0!</v>
      </c>
      <c r="K62" s="42"/>
      <c r="L62" s="8" t="s">
        <v>9</v>
      </c>
      <c r="M62" s="8"/>
      <c r="N62" s="42"/>
      <c r="O62" s="8" t="s">
        <v>9</v>
      </c>
      <c r="P62" s="8" t="e">
        <f t="shared" si="12"/>
        <v>#DIV/0!</v>
      </c>
      <c r="Q62" s="31"/>
      <c r="R62" s="8" t="s">
        <v>9</v>
      </c>
      <c r="S62" s="8">
        <v>1.25</v>
      </c>
      <c r="T62" s="8" t="e">
        <f t="shared" si="4"/>
        <v>#DIV/0!</v>
      </c>
      <c r="AP62" s="60" t="s">
        <v>9</v>
      </c>
      <c r="AQ62" s="60" t="e">
        <f>T62</f>
        <v>#DIV/0!</v>
      </c>
      <c r="AR62" s="60" t="e">
        <f t="shared" si="45"/>
        <v>#DIV/0!</v>
      </c>
    </row>
    <row r="63" spans="1:44" x14ac:dyDescent="0.3">
      <c r="A63" s="8" t="s">
        <v>120</v>
      </c>
      <c r="B63" s="8"/>
      <c r="C63" s="8">
        <f t="shared" si="42"/>
        <v>0</v>
      </c>
      <c r="D63" s="35"/>
      <c r="E63" s="37"/>
      <c r="F63" s="36"/>
      <c r="G63" s="8" t="s">
        <v>9</v>
      </c>
      <c r="H63" s="8"/>
      <c r="I63" s="8"/>
      <c r="J63" s="8" t="e">
        <f t="shared" si="46"/>
        <v>#DIV/0!</v>
      </c>
      <c r="K63" s="42"/>
      <c r="L63" s="8" t="s">
        <v>9</v>
      </c>
      <c r="M63" s="8"/>
      <c r="N63" s="42"/>
      <c r="O63" s="8" t="s">
        <v>9</v>
      </c>
      <c r="P63" s="8" t="e">
        <f t="shared" si="12"/>
        <v>#DIV/0!</v>
      </c>
      <c r="Q63" s="31"/>
      <c r="R63" s="8" t="s">
        <v>9</v>
      </c>
      <c r="S63" s="8">
        <v>1.25</v>
      </c>
      <c r="T63" s="8" t="e">
        <f t="shared" si="4"/>
        <v>#DIV/0!</v>
      </c>
      <c r="AP63" s="60" t="s">
        <v>9</v>
      </c>
      <c r="AQ63" s="60" t="e">
        <f>T63</f>
        <v>#DIV/0!</v>
      </c>
      <c r="AR63" s="60" t="e">
        <f t="shared" si="45"/>
        <v>#DIV/0!</v>
      </c>
    </row>
    <row r="64" spans="1:44" x14ac:dyDescent="0.3">
      <c r="A64" s="8" t="s">
        <v>121</v>
      </c>
      <c r="B64" s="8"/>
      <c r="C64" s="8">
        <f t="shared" si="42"/>
        <v>0</v>
      </c>
      <c r="D64" s="35"/>
      <c r="E64" s="37"/>
      <c r="F64" s="36"/>
      <c r="G64" s="8" t="s">
        <v>9</v>
      </c>
      <c r="H64" s="8"/>
      <c r="I64" s="8"/>
      <c r="J64" s="8" t="e">
        <f t="shared" si="46"/>
        <v>#DIV/0!</v>
      </c>
      <c r="K64" s="42"/>
      <c r="L64" s="8" t="s">
        <v>9</v>
      </c>
      <c r="M64" s="8"/>
      <c r="N64" s="42"/>
      <c r="O64" s="8" t="s">
        <v>9</v>
      </c>
      <c r="P64" s="8" t="e">
        <f t="shared" si="12"/>
        <v>#DIV/0!</v>
      </c>
      <c r="Q64" s="31"/>
      <c r="R64" s="8" t="s">
        <v>9</v>
      </c>
      <c r="S64" s="8">
        <v>1.25</v>
      </c>
      <c r="T64" s="8" t="e">
        <f t="shared" si="4"/>
        <v>#DIV/0!</v>
      </c>
      <c r="AP64" s="60" t="s">
        <v>9</v>
      </c>
      <c r="AQ64" s="60" t="e">
        <f>T64</f>
        <v>#DIV/0!</v>
      </c>
      <c r="AR64" s="60" t="e">
        <f t="shared" si="45"/>
        <v>#DIV/0!</v>
      </c>
    </row>
    <row r="65" spans="1:44" x14ac:dyDescent="0.3">
      <c r="A65" s="45"/>
      <c r="B65" s="45"/>
      <c r="C65" s="2" t="s">
        <v>25</v>
      </c>
      <c r="D65" s="35"/>
      <c r="E65" s="37"/>
      <c r="F65" s="36"/>
      <c r="G65" s="45"/>
      <c r="H65" s="45"/>
      <c r="I65" s="45"/>
      <c r="J65" s="45"/>
      <c r="K65" s="42"/>
      <c r="L65" s="27"/>
      <c r="M65" s="29"/>
      <c r="N65" s="42"/>
      <c r="O65" s="27"/>
      <c r="P65" s="29"/>
      <c r="Q65" s="31"/>
      <c r="R65" s="27"/>
      <c r="S65" s="28"/>
      <c r="T65" s="29"/>
      <c r="AN65" s="1"/>
      <c r="AO65" s="1"/>
      <c r="AP65" s="27"/>
      <c r="AQ65" s="28"/>
      <c r="AR65" s="29"/>
    </row>
    <row r="66" spans="1:44" s="1" customFormat="1" x14ac:dyDescent="0.3">
      <c r="A66" s="9" t="s">
        <v>122</v>
      </c>
      <c r="B66" s="9"/>
      <c r="C66" s="9">
        <f t="shared" si="42"/>
        <v>0</v>
      </c>
      <c r="D66" s="35"/>
      <c r="E66" s="37"/>
      <c r="F66" s="36"/>
      <c r="G66" s="9" t="s">
        <v>10</v>
      </c>
      <c r="H66" s="9"/>
      <c r="I66" s="9"/>
      <c r="J66" s="9" t="e">
        <f t="shared" si="46"/>
        <v>#DIV/0!</v>
      </c>
      <c r="K66" s="42"/>
      <c r="L66" s="9" t="s">
        <v>10</v>
      </c>
      <c r="M66" s="9"/>
      <c r="N66" s="42"/>
      <c r="O66" s="9" t="s">
        <v>10</v>
      </c>
      <c r="P66" s="9" t="e">
        <f t="shared" si="12"/>
        <v>#DIV/0!</v>
      </c>
      <c r="Q66" s="31"/>
      <c r="R66" s="9" t="s">
        <v>10</v>
      </c>
      <c r="S66" s="9">
        <v>1.29</v>
      </c>
      <c r="T66" s="9" t="e">
        <f t="shared" si="4"/>
        <v>#DIV/0!</v>
      </c>
      <c r="AN66"/>
      <c r="AO66"/>
      <c r="AP66" s="60" t="s">
        <v>10</v>
      </c>
      <c r="AQ66" s="60" t="e">
        <f>T66</f>
        <v>#DIV/0!</v>
      </c>
      <c r="AR66" s="60" t="e">
        <f>(100*AQ66)/$AO$14</f>
        <v>#DIV/0!</v>
      </c>
    </row>
    <row r="67" spans="1:44" x14ac:dyDescent="0.3">
      <c r="A67" s="9" t="s">
        <v>123</v>
      </c>
      <c r="B67" s="9"/>
      <c r="C67" s="9">
        <f t="shared" si="42"/>
        <v>0</v>
      </c>
      <c r="D67" s="35"/>
      <c r="E67" s="37"/>
      <c r="F67" s="36"/>
      <c r="G67" s="9" t="s">
        <v>10</v>
      </c>
      <c r="H67" s="9"/>
      <c r="I67" s="9"/>
      <c r="J67" s="9" t="e">
        <f t="shared" si="46"/>
        <v>#DIV/0!</v>
      </c>
      <c r="K67" s="42"/>
      <c r="L67" s="9" t="s">
        <v>10</v>
      </c>
      <c r="M67" s="9"/>
      <c r="N67" s="42"/>
      <c r="O67" s="9" t="s">
        <v>10</v>
      </c>
      <c r="P67" s="9" t="e">
        <f t="shared" si="12"/>
        <v>#DIV/0!</v>
      </c>
      <c r="Q67" s="31"/>
      <c r="R67" s="9" t="s">
        <v>10</v>
      </c>
      <c r="S67" s="9">
        <v>1.29</v>
      </c>
      <c r="T67" s="9" t="e">
        <f t="shared" si="4"/>
        <v>#DIV/0!</v>
      </c>
      <c r="AP67" s="60" t="s">
        <v>10</v>
      </c>
      <c r="AQ67" s="60" t="e">
        <f>T67</f>
        <v>#DIV/0!</v>
      </c>
      <c r="AR67" s="60" t="e">
        <f t="shared" ref="AR67:AR71" si="47">(100*AQ67)/$AO$14</f>
        <v>#DIV/0!</v>
      </c>
    </row>
    <row r="68" spans="1:44" x14ac:dyDescent="0.3">
      <c r="A68" s="9" t="s">
        <v>124</v>
      </c>
      <c r="B68" s="9"/>
      <c r="C68" s="9">
        <f t="shared" si="42"/>
        <v>0</v>
      </c>
      <c r="D68" s="35"/>
      <c r="E68" s="37"/>
      <c r="F68" s="36"/>
      <c r="G68" s="9" t="s">
        <v>10</v>
      </c>
      <c r="H68" s="9"/>
      <c r="I68" s="9"/>
      <c r="J68" s="9" t="e">
        <f t="shared" si="46"/>
        <v>#DIV/0!</v>
      </c>
      <c r="K68" s="42"/>
      <c r="L68" s="9" t="s">
        <v>10</v>
      </c>
      <c r="M68" s="9"/>
      <c r="N68" s="42"/>
      <c r="O68" s="9" t="s">
        <v>10</v>
      </c>
      <c r="P68" s="9" t="e">
        <f t="shared" si="12"/>
        <v>#DIV/0!</v>
      </c>
      <c r="Q68" s="31"/>
      <c r="R68" s="9" t="s">
        <v>10</v>
      </c>
      <c r="S68" s="9">
        <v>1.29</v>
      </c>
      <c r="T68" s="9" t="e">
        <f t="shared" ref="T68:T78" si="48">P68*S68</f>
        <v>#DIV/0!</v>
      </c>
      <c r="AP68" s="60" t="s">
        <v>10</v>
      </c>
      <c r="AQ68" s="60" t="e">
        <f>T68</f>
        <v>#DIV/0!</v>
      </c>
      <c r="AR68" s="60" t="e">
        <f t="shared" si="47"/>
        <v>#DIV/0!</v>
      </c>
    </row>
    <row r="69" spans="1:44" x14ac:dyDescent="0.3">
      <c r="A69" s="9" t="s">
        <v>125</v>
      </c>
      <c r="B69" s="9"/>
      <c r="C69" s="9">
        <f t="shared" si="42"/>
        <v>0</v>
      </c>
      <c r="D69" s="35"/>
      <c r="E69" s="37"/>
      <c r="F69" s="36"/>
      <c r="G69" s="9" t="s">
        <v>10</v>
      </c>
      <c r="H69" s="9"/>
      <c r="I69" s="9"/>
      <c r="J69" s="9" t="e">
        <f t="shared" si="46"/>
        <v>#DIV/0!</v>
      </c>
      <c r="K69" s="42"/>
      <c r="L69" s="9" t="s">
        <v>10</v>
      </c>
      <c r="M69" s="9"/>
      <c r="N69" s="42"/>
      <c r="O69" s="9" t="s">
        <v>10</v>
      </c>
      <c r="P69" s="9" t="e">
        <f t="shared" si="12"/>
        <v>#DIV/0!</v>
      </c>
      <c r="Q69" s="31"/>
      <c r="R69" s="9" t="s">
        <v>10</v>
      </c>
      <c r="S69" s="9">
        <v>1.29</v>
      </c>
      <c r="T69" s="9" t="e">
        <f t="shared" si="48"/>
        <v>#DIV/0!</v>
      </c>
      <c r="AP69" s="60" t="s">
        <v>10</v>
      </c>
      <c r="AQ69" s="60" t="e">
        <f>T69</f>
        <v>#DIV/0!</v>
      </c>
      <c r="AR69" s="60" t="e">
        <f t="shared" si="47"/>
        <v>#DIV/0!</v>
      </c>
    </row>
    <row r="70" spans="1:44" x14ac:dyDescent="0.3">
      <c r="A70" s="9" t="s">
        <v>126</v>
      </c>
      <c r="B70" s="9"/>
      <c r="C70" s="9">
        <f t="shared" si="42"/>
        <v>0</v>
      </c>
      <c r="D70" s="35"/>
      <c r="E70" s="37"/>
      <c r="F70" s="36"/>
      <c r="G70" s="9" t="s">
        <v>10</v>
      </c>
      <c r="H70" s="9"/>
      <c r="I70" s="9"/>
      <c r="J70" s="9" t="e">
        <f t="shared" si="46"/>
        <v>#DIV/0!</v>
      </c>
      <c r="K70" s="42"/>
      <c r="L70" s="9" t="s">
        <v>10</v>
      </c>
      <c r="M70" s="9"/>
      <c r="N70" s="42"/>
      <c r="O70" s="9" t="s">
        <v>10</v>
      </c>
      <c r="P70" s="9" t="e">
        <f t="shared" si="12"/>
        <v>#DIV/0!</v>
      </c>
      <c r="Q70" s="31"/>
      <c r="R70" s="9" t="s">
        <v>10</v>
      </c>
      <c r="S70" s="9">
        <v>1.29</v>
      </c>
      <c r="T70" s="9" t="e">
        <f t="shared" si="48"/>
        <v>#DIV/0!</v>
      </c>
      <c r="AP70" s="60" t="s">
        <v>10</v>
      </c>
      <c r="AQ70" s="60" t="e">
        <f>T70</f>
        <v>#DIV/0!</v>
      </c>
      <c r="AR70" s="60" t="e">
        <f t="shared" si="47"/>
        <v>#DIV/0!</v>
      </c>
    </row>
    <row r="71" spans="1:44" x14ac:dyDescent="0.3">
      <c r="A71" s="9" t="s">
        <v>127</v>
      </c>
      <c r="B71" s="9"/>
      <c r="C71" s="9">
        <f t="shared" si="42"/>
        <v>0</v>
      </c>
      <c r="D71" s="35"/>
      <c r="E71" s="37"/>
      <c r="F71" s="36"/>
      <c r="G71" s="9" t="s">
        <v>10</v>
      </c>
      <c r="H71" s="9"/>
      <c r="I71" s="9"/>
      <c r="J71" s="9" t="e">
        <f t="shared" si="46"/>
        <v>#DIV/0!</v>
      </c>
      <c r="K71" s="42"/>
      <c r="L71" s="9" t="s">
        <v>10</v>
      </c>
      <c r="M71" s="9"/>
      <c r="N71" s="42"/>
      <c r="O71" s="9" t="s">
        <v>10</v>
      </c>
      <c r="P71" s="9" t="e">
        <f t="shared" si="12"/>
        <v>#DIV/0!</v>
      </c>
      <c r="Q71" s="31"/>
      <c r="R71" s="9" t="s">
        <v>10</v>
      </c>
      <c r="S71" s="9">
        <v>1.29</v>
      </c>
      <c r="T71" s="9" t="e">
        <f t="shared" si="48"/>
        <v>#DIV/0!</v>
      </c>
      <c r="AP71" s="60" t="s">
        <v>10</v>
      </c>
      <c r="AQ71" s="60" t="e">
        <f>T71</f>
        <v>#DIV/0!</v>
      </c>
      <c r="AR71" s="60" t="e">
        <f t="shared" si="47"/>
        <v>#DIV/0!</v>
      </c>
    </row>
    <row r="72" spans="1:44" x14ac:dyDescent="0.3">
      <c r="A72" s="45" t="s">
        <v>128</v>
      </c>
      <c r="B72" s="45"/>
      <c r="C72" s="2" t="s">
        <v>26</v>
      </c>
      <c r="D72" s="35"/>
      <c r="E72" s="37"/>
      <c r="F72" s="36"/>
      <c r="G72" s="45"/>
      <c r="H72" s="45"/>
      <c r="I72" s="45"/>
      <c r="J72" s="45"/>
      <c r="K72" s="42"/>
      <c r="L72" s="27"/>
      <c r="M72" s="29"/>
      <c r="N72" s="42"/>
      <c r="O72" s="27"/>
      <c r="P72" s="29"/>
      <c r="Q72" s="31"/>
      <c r="R72" s="27"/>
      <c r="S72" s="28"/>
      <c r="T72" s="29"/>
      <c r="AN72" s="1"/>
      <c r="AO72" s="1"/>
      <c r="AP72" s="27"/>
      <c r="AQ72" s="28"/>
      <c r="AR72" s="29"/>
    </row>
    <row r="73" spans="1:44" s="1" customFormat="1" x14ac:dyDescent="0.3">
      <c r="A73" s="8" t="s">
        <v>129</v>
      </c>
      <c r="B73" s="8"/>
      <c r="C73" s="8">
        <f t="shared" si="42"/>
        <v>0</v>
      </c>
      <c r="D73" s="35"/>
      <c r="E73" s="37"/>
      <c r="F73" s="36"/>
      <c r="G73" s="8" t="s">
        <v>11</v>
      </c>
      <c r="H73" s="8"/>
      <c r="I73" s="8"/>
      <c r="J73" s="8" t="e">
        <f t="shared" si="46"/>
        <v>#DIV/0!</v>
      </c>
      <c r="K73" s="42"/>
      <c r="L73" s="8" t="s">
        <v>11</v>
      </c>
      <c r="M73" s="8"/>
      <c r="N73" s="42"/>
      <c r="O73" s="8" t="s">
        <v>11</v>
      </c>
      <c r="P73" s="8" t="e">
        <f t="shared" si="12"/>
        <v>#DIV/0!</v>
      </c>
      <c r="Q73" s="31"/>
      <c r="R73" s="8" t="s">
        <v>11</v>
      </c>
      <c r="S73" s="8">
        <v>3.22</v>
      </c>
      <c r="T73" s="8" t="e">
        <f t="shared" si="48"/>
        <v>#DIV/0!</v>
      </c>
      <c r="AN73"/>
      <c r="AO73"/>
      <c r="AP73" s="60" t="s">
        <v>11</v>
      </c>
      <c r="AQ73" s="60" t="e">
        <f>T73</f>
        <v>#DIV/0!</v>
      </c>
      <c r="AR73" s="60" t="e">
        <f>(100*AQ73)/$AO$15</f>
        <v>#DIV/0!</v>
      </c>
    </row>
    <row r="74" spans="1:44" x14ac:dyDescent="0.3">
      <c r="A74" s="8" t="s">
        <v>130</v>
      </c>
      <c r="B74" s="8"/>
      <c r="C74" s="8">
        <f t="shared" si="42"/>
        <v>0</v>
      </c>
      <c r="D74" s="35"/>
      <c r="E74" s="37"/>
      <c r="F74" s="36"/>
      <c r="G74" s="8" t="s">
        <v>11</v>
      </c>
      <c r="H74" s="8"/>
      <c r="I74" s="8"/>
      <c r="J74" s="8" t="e">
        <f t="shared" si="46"/>
        <v>#DIV/0!</v>
      </c>
      <c r="K74" s="42"/>
      <c r="L74" s="8" t="s">
        <v>11</v>
      </c>
      <c r="M74" s="8"/>
      <c r="N74" s="42"/>
      <c r="O74" s="8" t="s">
        <v>11</v>
      </c>
      <c r="P74" s="8" t="e">
        <f t="shared" si="12"/>
        <v>#DIV/0!</v>
      </c>
      <c r="Q74" s="31"/>
      <c r="R74" s="8" t="s">
        <v>11</v>
      </c>
      <c r="S74" s="8">
        <v>3.22</v>
      </c>
      <c r="T74" s="8" t="e">
        <f t="shared" si="48"/>
        <v>#DIV/0!</v>
      </c>
      <c r="AP74" s="60" t="s">
        <v>11</v>
      </c>
      <c r="AQ74" s="60" t="e">
        <f>T74</f>
        <v>#DIV/0!</v>
      </c>
      <c r="AR74" s="60" t="e">
        <f t="shared" ref="AR74:AR78" si="49">(100*AQ74)/$AO$15</f>
        <v>#DIV/0!</v>
      </c>
    </row>
    <row r="75" spans="1:44" x14ac:dyDescent="0.3">
      <c r="A75" s="8" t="s">
        <v>131</v>
      </c>
      <c r="B75" s="8"/>
      <c r="C75" s="8">
        <f t="shared" si="42"/>
        <v>0</v>
      </c>
      <c r="D75" s="35"/>
      <c r="E75" s="37"/>
      <c r="F75" s="36"/>
      <c r="G75" s="8" t="s">
        <v>11</v>
      </c>
      <c r="H75" s="8"/>
      <c r="I75" s="8"/>
      <c r="J75" s="8" t="e">
        <f t="shared" si="46"/>
        <v>#DIV/0!</v>
      </c>
      <c r="K75" s="42"/>
      <c r="L75" s="8" t="s">
        <v>11</v>
      </c>
      <c r="M75" s="8"/>
      <c r="N75" s="42"/>
      <c r="O75" s="8" t="s">
        <v>11</v>
      </c>
      <c r="P75" s="8" t="e">
        <f t="shared" ref="P75:P78" si="50">((J75-C75)/M75)*100</f>
        <v>#DIV/0!</v>
      </c>
      <c r="Q75" s="31"/>
      <c r="R75" s="8" t="s">
        <v>11</v>
      </c>
      <c r="S75" s="8">
        <v>3.22</v>
      </c>
      <c r="T75" s="8" t="e">
        <f t="shared" si="48"/>
        <v>#DIV/0!</v>
      </c>
      <c r="AP75" s="60" t="s">
        <v>11</v>
      </c>
      <c r="AQ75" s="60" t="e">
        <f>T75</f>
        <v>#DIV/0!</v>
      </c>
      <c r="AR75" s="60" t="e">
        <f t="shared" si="49"/>
        <v>#DIV/0!</v>
      </c>
    </row>
    <row r="76" spans="1:44" x14ac:dyDescent="0.3">
      <c r="A76" s="8" t="s">
        <v>132</v>
      </c>
      <c r="B76" s="8"/>
      <c r="C76" s="8">
        <f t="shared" si="42"/>
        <v>0</v>
      </c>
      <c r="D76" s="35"/>
      <c r="E76" s="37"/>
      <c r="F76" s="36"/>
      <c r="G76" s="8" t="s">
        <v>11</v>
      </c>
      <c r="H76" s="8"/>
      <c r="I76" s="8"/>
      <c r="J76" s="8" t="e">
        <f t="shared" si="46"/>
        <v>#DIV/0!</v>
      </c>
      <c r="K76" s="42"/>
      <c r="L76" s="8" t="s">
        <v>11</v>
      </c>
      <c r="M76" s="8"/>
      <c r="N76" s="42"/>
      <c r="O76" s="8" t="s">
        <v>11</v>
      </c>
      <c r="P76" s="8" t="e">
        <f t="shared" si="50"/>
        <v>#DIV/0!</v>
      </c>
      <c r="Q76" s="31"/>
      <c r="R76" s="8" t="s">
        <v>11</v>
      </c>
      <c r="S76" s="8">
        <v>3.22</v>
      </c>
      <c r="T76" s="8" t="e">
        <f t="shared" si="48"/>
        <v>#DIV/0!</v>
      </c>
      <c r="AP76" s="60" t="s">
        <v>11</v>
      </c>
      <c r="AQ76" s="60" t="e">
        <f>T76</f>
        <v>#DIV/0!</v>
      </c>
      <c r="AR76" s="60" t="e">
        <f t="shared" si="49"/>
        <v>#DIV/0!</v>
      </c>
    </row>
    <row r="77" spans="1:44" x14ac:dyDescent="0.3">
      <c r="A77" s="8" t="s">
        <v>132</v>
      </c>
      <c r="B77" s="8"/>
      <c r="C77" s="8">
        <f t="shared" si="42"/>
        <v>0</v>
      </c>
      <c r="D77" s="35"/>
      <c r="E77" s="37"/>
      <c r="F77" s="36"/>
      <c r="G77" s="8" t="s">
        <v>11</v>
      </c>
      <c r="H77" s="8"/>
      <c r="I77" s="8"/>
      <c r="J77" s="8" t="e">
        <f t="shared" si="46"/>
        <v>#DIV/0!</v>
      </c>
      <c r="K77" s="42"/>
      <c r="L77" s="8" t="s">
        <v>11</v>
      </c>
      <c r="M77" s="8"/>
      <c r="N77" s="42"/>
      <c r="O77" s="8" t="s">
        <v>11</v>
      </c>
      <c r="P77" s="8" t="e">
        <f t="shared" si="50"/>
        <v>#DIV/0!</v>
      </c>
      <c r="Q77" s="31"/>
      <c r="R77" s="8" t="s">
        <v>11</v>
      </c>
      <c r="S77" s="8">
        <v>3.22</v>
      </c>
      <c r="T77" s="8" t="e">
        <f t="shared" si="48"/>
        <v>#DIV/0!</v>
      </c>
      <c r="AP77" s="60" t="s">
        <v>11</v>
      </c>
      <c r="AQ77" s="60" t="e">
        <f>T77</f>
        <v>#DIV/0!</v>
      </c>
      <c r="AR77" s="60" t="e">
        <f t="shared" si="49"/>
        <v>#DIV/0!</v>
      </c>
    </row>
    <row r="78" spans="1:44" x14ac:dyDescent="0.3">
      <c r="A78" s="8" t="s">
        <v>133</v>
      </c>
      <c r="B78" s="8"/>
      <c r="C78" s="8">
        <f t="shared" si="42"/>
        <v>0</v>
      </c>
      <c r="D78" s="40"/>
      <c r="E78" s="38"/>
      <c r="F78" s="39"/>
      <c r="G78" s="8" t="s">
        <v>11</v>
      </c>
      <c r="H78" s="8"/>
      <c r="I78" s="8"/>
      <c r="J78" s="8" t="e">
        <f t="shared" si="46"/>
        <v>#DIV/0!</v>
      </c>
      <c r="K78" s="43"/>
      <c r="L78" s="8" t="s">
        <v>11</v>
      </c>
      <c r="M78" s="8"/>
      <c r="N78" s="43"/>
      <c r="O78" s="8" t="s">
        <v>11</v>
      </c>
      <c r="P78" s="8" t="e">
        <f t="shared" si="50"/>
        <v>#DIV/0!</v>
      </c>
      <c r="Q78" s="32"/>
      <c r="R78" s="8" t="s">
        <v>11</v>
      </c>
      <c r="S78" s="8">
        <v>3.22</v>
      </c>
      <c r="T78" s="8" t="e">
        <f t="shared" si="48"/>
        <v>#DIV/0!</v>
      </c>
      <c r="AP78" s="60" t="s">
        <v>11</v>
      </c>
      <c r="AQ78" s="60" t="e">
        <f>T78</f>
        <v>#DIV/0!</v>
      </c>
      <c r="AR78" s="60" t="e">
        <f t="shared" si="49"/>
        <v>#DIV/0!</v>
      </c>
    </row>
  </sheetData>
  <mergeCells count="117">
    <mergeCell ref="AP44:AR44"/>
    <mergeCell ref="AP37:AR37"/>
    <mergeCell ref="AP30:AR30"/>
    <mergeCell ref="AP23:AR23"/>
    <mergeCell ref="AP16:AR16"/>
    <mergeCell ref="AN2:AO3"/>
    <mergeCell ref="AN1:AR1"/>
    <mergeCell ref="AP9:AR9"/>
    <mergeCell ref="AP72:AR72"/>
    <mergeCell ref="AP65:AR65"/>
    <mergeCell ref="AP58:AR58"/>
    <mergeCell ref="AP51:AR51"/>
    <mergeCell ref="AK7:AL9"/>
    <mergeCell ref="AK14:AL16"/>
    <mergeCell ref="AK21:AL23"/>
    <mergeCell ref="AK28:AL30"/>
    <mergeCell ref="AK35:AL37"/>
    <mergeCell ref="A2:B2"/>
    <mergeCell ref="A9:B9"/>
    <mergeCell ref="A16:B16"/>
    <mergeCell ref="A23:B23"/>
    <mergeCell ref="A30:B30"/>
    <mergeCell ref="G9:J9"/>
    <mergeCell ref="G16:J16"/>
    <mergeCell ref="G23:J23"/>
    <mergeCell ref="G30:J30"/>
    <mergeCell ref="A72:B72"/>
    <mergeCell ref="A37:B37"/>
    <mergeCell ref="A44:B44"/>
    <mergeCell ref="A51:B51"/>
    <mergeCell ref="A58:B58"/>
    <mergeCell ref="A65:B65"/>
    <mergeCell ref="O1:O2"/>
    <mergeCell ref="P1:P2"/>
    <mergeCell ref="G65:J65"/>
    <mergeCell ref="G72:J72"/>
    <mergeCell ref="L1:L2"/>
    <mergeCell ref="L9:M9"/>
    <mergeCell ref="L37:M37"/>
    <mergeCell ref="L58:M58"/>
    <mergeCell ref="L65:M65"/>
    <mergeCell ref="L72:M72"/>
    <mergeCell ref="M1:M2"/>
    <mergeCell ref="G37:J37"/>
    <mergeCell ref="G44:J44"/>
    <mergeCell ref="G51:J51"/>
    <mergeCell ref="G58:J58"/>
    <mergeCell ref="G1:G2"/>
    <mergeCell ref="O30:P30"/>
    <mergeCell ref="O37:P37"/>
    <mergeCell ref="O44:P44"/>
    <mergeCell ref="O51:P51"/>
    <mergeCell ref="O58:P58"/>
    <mergeCell ref="E2:F78"/>
    <mergeCell ref="D9:D78"/>
    <mergeCell ref="N1:N78"/>
    <mergeCell ref="K1:K78"/>
    <mergeCell ref="R72:T72"/>
    <mergeCell ref="R65:T65"/>
    <mergeCell ref="R58:T58"/>
    <mergeCell ref="O16:P16"/>
    <mergeCell ref="O9:P9"/>
    <mergeCell ref="R9:T9"/>
    <mergeCell ref="R16:T16"/>
    <mergeCell ref="R2:S2"/>
    <mergeCell ref="R1:T1"/>
    <mergeCell ref="O65:P65"/>
    <mergeCell ref="O72:P72"/>
    <mergeCell ref="R23:T23"/>
    <mergeCell ref="R37:T37"/>
    <mergeCell ref="R44:T44"/>
    <mergeCell ref="R51:T51"/>
    <mergeCell ref="Q1:Q78"/>
    <mergeCell ref="V3:W3"/>
    <mergeCell ref="V10:W10"/>
    <mergeCell ref="V17:W17"/>
    <mergeCell ref="V24:W24"/>
    <mergeCell ref="V31:W31"/>
    <mergeCell ref="V38:W38"/>
    <mergeCell ref="V2:AB2"/>
    <mergeCell ref="V9:AB9"/>
    <mergeCell ref="V16:AB16"/>
    <mergeCell ref="V23:AB23"/>
    <mergeCell ref="V30:AB30"/>
    <mergeCell ref="R30:T30"/>
    <mergeCell ref="AC2:AD2"/>
    <mergeCell ref="AC9:AD9"/>
    <mergeCell ref="AC16:AD16"/>
    <mergeCell ref="AC23:AD23"/>
    <mergeCell ref="V37:AB37"/>
    <mergeCell ref="V7:AD8"/>
    <mergeCell ref="V14:AD15"/>
    <mergeCell ref="V21:AD22"/>
    <mergeCell ref="V28:AD29"/>
    <mergeCell ref="V35:AD36"/>
    <mergeCell ref="AE24:AF24"/>
    <mergeCell ref="AG24:AJ24"/>
    <mergeCell ref="AE38:AF38"/>
    <mergeCell ref="AG38:AJ38"/>
    <mergeCell ref="AC30:AD30"/>
    <mergeCell ref="AC37:AD37"/>
    <mergeCell ref="AK38:AL38"/>
    <mergeCell ref="AE2:AL2"/>
    <mergeCell ref="V1:AL1"/>
    <mergeCell ref="AK3:AL3"/>
    <mergeCell ref="AK10:AL10"/>
    <mergeCell ref="AK17:AL17"/>
    <mergeCell ref="AK24:AL24"/>
    <mergeCell ref="AK31:AL31"/>
    <mergeCell ref="AE3:AF3"/>
    <mergeCell ref="AG3:AJ3"/>
    <mergeCell ref="AE10:AF10"/>
    <mergeCell ref="AG10:AJ10"/>
    <mergeCell ref="AE17:AF17"/>
    <mergeCell ref="AG17:AJ17"/>
    <mergeCell ref="AE31:AF31"/>
    <mergeCell ref="AG31:AJ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Nutrientes del Suelo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JAYDER ADRIAN BURBANO ORTEGA</dc:creator>
  <cp:lastModifiedBy>JAYDER ADRIAN BURBANO ORTEGA</cp:lastModifiedBy>
  <dcterms:created xsi:type="dcterms:W3CDTF">2025-11-22T12:06:02Z</dcterms:created>
  <dcterms:modified xsi:type="dcterms:W3CDTF">2025-11-26T05:55:35Z</dcterms:modified>
</cp:coreProperties>
</file>